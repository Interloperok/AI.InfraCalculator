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izing" sheetId="3" state="visible" r:id="rId3"/>
    <sheet xmlns:r="http://schemas.openxmlformats.org/officeDocument/2006/relationships" name="Agentic" sheetId="4" state="visible" r:id="rId4"/>
    <sheet xmlns:r="http://schemas.openxmlformats.org/officeDocument/2006/relationships" name="Calibration" sheetId="5" state="visible" r:id="rId5"/>
    <sheet xmlns:r="http://schemas.openxmlformats.org/officeDocument/2006/relationships" name="Referenc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000"/>
    <numFmt numFmtId="166" formatCode="#,##0.000"/>
  </numFmts>
  <fonts count="10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name val="Calibri"/>
      <sz val="10"/>
    </font>
    <font>
      <name val="Calibri"/>
      <i val="1"/>
      <color rgb="00595959"/>
      <sz val="10"/>
    </font>
    <font>
      <name val="Calibri"/>
      <b val="1"/>
      <sz val="12"/>
    </font>
    <font>
      <name val="Calibri"/>
      <family val="2"/>
      <b val="1"/>
      <color theme="1"/>
      <sz val="11"/>
      <scheme val="minor"/>
    </font>
    <font>
      <name val="Calibri"/>
      <b val="1"/>
      <sz val="10"/>
    </font>
    <font>
      <name val="Menlo"/>
      <family val="2"/>
      <color theme="1"/>
      <sz val="9"/>
      <scheme val="minor"/>
    </font>
    <font>
      <name val="Calibri"/>
      <family val="2"/>
      <i val="1"/>
      <color theme="1"/>
      <sz val="11"/>
      <scheme val="minor"/>
    </font>
    <font>
      <name val="Calibri"/>
      <b val="1"/>
      <color rgb="00FFFFFF"/>
      <sz val="11"/>
    </font>
  </fonts>
  <fills count="7">
    <fill>
      <patternFill/>
    </fill>
    <fill>
      <patternFill patternType="gray125"/>
    </fill>
    <fill>
      <patternFill patternType="solid">
        <fgColor rgb="00DAEEF3"/>
        <bgColor rgb="00DAEEF3"/>
      </patternFill>
    </fill>
    <fill>
      <patternFill patternType="solid">
        <fgColor rgb="00E2EFDA"/>
        <bgColor rgb="00E2EFDA"/>
      </patternFill>
    </fill>
    <fill>
      <patternFill patternType="solid">
        <fgColor rgb="00B4C7E7"/>
        <bgColor rgb="00B4C7E7"/>
      </patternFill>
    </fill>
    <fill>
      <patternFill patternType="solid">
        <fgColor rgb="00C6EFCE"/>
        <bgColor rgb="00C6EFCE"/>
      </patternFill>
    </fill>
    <fill>
      <patternFill patternType="solid">
        <fgColor rgb="004472C4"/>
        <bgColor rgb="004472C4"/>
      </patternFill>
    </fill>
  </fills>
  <borders count="7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medium"/>
      <right style="medium"/>
      <top style="medium"/>
      <bottom style="medium"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2" borderId="1" applyAlignment="1" pivotButton="0" quotePrefix="0" xfId="0">
      <alignment horizontal="right" vertical="center"/>
    </xf>
    <xf numFmtId="0" fontId="2" fillId="3" borderId="1" applyAlignment="1" pivotButton="0" quotePrefix="0" xfId="0">
      <alignment horizontal="right" vertical="center"/>
    </xf>
    <xf numFmtId="0" fontId="3" fillId="0" borderId="0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2" fillId="0" borderId="0" applyAlignment="1" pivotButton="0" quotePrefix="0" xfId="0">
      <alignment horizontal="left" vertical="center" wrapText="1"/>
    </xf>
    <xf numFmtId="0" fontId="6" fillId="3" borderId="6" applyAlignment="1" pivotButton="0" quotePrefix="0" xfId="0">
      <alignment horizontal="right" vertical="top" wrapText="1"/>
    </xf>
    <xf numFmtId="4" fontId="2" fillId="3" borderId="1" applyAlignment="1" pivotButton="0" quotePrefix="0" xfId="0">
      <alignment horizontal="right" vertical="center"/>
    </xf>
    <xf numFmtId="0" fontId="2" fillId="3" borderId="1" applyAlignment="1" pivotButton="0" quotePrefix="0" xfId="0">
      <alignment horizontal="right" vertical="top" wrapText="1"/>
    </xf>
    <xf numFmtId="3" fontId="2" fillId="3" borderId="1" applyAlignment="1" pivotButton="0" quotePrefix="0" xfId="0">
      <alignment horizontal="right" vertical="center"/>
    </xf>
    <xf numFmtId="165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right" vertical="center"/>
    </xf>
    <xf numFmtId="0" fontId="6" fillId="5" borderId="6" applyAlignment="1" pivotButton="0" quotePrefix="0" xfId="0">
      <alignment horizontal="right" vertical="center"/>
    </xf>
    <xf numFmtId="0" fontId="6" fillId="3" borderId="6" applyAlignment="1" pivotButton="0" quotePrefix="0" xfId="0">
      <alignment horizontal="right" vertical="center"/>
    </xf>
    <xf numFmtId="3" fontId="6" fillId="3" borderId="6" applyAlignment="1" pivotButton="0" quotePrefix="0" xfId="0">
      <alignment horizontal="right" vertical="center"/>
    </xf>
    <xf numFmtId="166" fontId="6" fillId="3" borderId="6" applyAlignment="1" pivotButton="0" quotePrefix="0" xfId="0">
      <alignment horizontal="right" vertical="center"/>
    </xf>
    <xf numFmtId="0" fontId="5" fillId="0" borderId="0" applyAlignment="1" pivotButton="0" quotePrefix="0" xfId="0">
      <alignment horizontal="center"/>
    </xf>
    <xf numFmtId="3" fontId="2" fillId="2" borderId="1" applyAlignment="1" pivotButton="0" quotePrefix="0" xfId="0">
      <alignment horizontal="right" vertical="center"/>
    </xf>
    <xf numFmtId="164" fontId="2" fillId="2" borderId="1" applyAlignment="1" pivotButton="0" quotePrefix="0" xfId="0">
      <alignment horizontal="right" vertical="center"/>
    </xf>
    <xf numFmtId="4" fontId="2" fillId="2" borderId="1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1" fontId="2" fillId="3" borderId="1" applyAlignment="1" pivotButton="0" quotePrefix="0" xfId="0">
      <alignment horizontal="right" vertical="center"/>
    </xf>
    <xf numFmtId="165" fontId="6" fillId="3" borderId="6" applyAlignment="1" pivotButton="0" quotePrefix="0" xfId="0">
      <alignment horizontal="right" vertical="center"/>
    </xf>
    <xf numFmtId="4" fontId="6" fillId="3" borderId="6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9" fillId="6" borderId="1" applyAlignment="1" pivotButton="0" quotePrefix="0" xfId="0">
      <alignment horizontal="center" vertical="center" wrapText="1"/>
    </xf>
    <xf numFmtId="0" fontId="0" fillId="0" borderId="1" pivotButton="0" quotePrefix="0" xfId="0"/>
  </cellXfs>
  <cellStyles count="1">
    <cellStyle name="Normal" xfId="0" builtinId="0" hidden="0"/>
  </cellStyles>
  <dxfs count="3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  <dxf>
      <fill>
        <patternFill patternType="solid">
          <fgColor rgb="00FFEB9C"/>
          <b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2" max="2"/>
    <col width="12" customWidth="1" min="3" max="3"/>
    <col width="52" customWidth="1" min="4" max="4"/>
  </cols>
  <sheetData>
    <row r="1">
      <c r="A1" s="1" t="inlineStr">
        <is>
          <t>Сводка расчёта — ключевые результаты</t>
        </is>
      </c>
    </row>
    <row r="2">
      <c r="A2" s="2" t="inlineStr">
        <is>
          <t>Ввод (INPUT)</t>
        </is>
      </c>
      <c r="B2" s="3" t="inlineStr">
        <is>
          <t>Расчёт / Итог (bold)</t>
        </is>
      </c>
      <c r="C2" s="4" t="inlineStr">
        <is>
          <t>Проверка ✓/✗ — окрашивается по результату</t>
        </is>
      </c>
    </row>
    <row r="4">
      <c r="A4" s="5" t="inlineStr">
        <is>
          <t>Проверка осуществимости конфигурации</t>
        </is>
      </c>
      <c r="B4" s="6" t="n"/>
      <c r="C4" s="6" t="n"/>
      <c r="D4" s="7" t="n"/>
    </row>
    <row r="5" ht="48" customHeight="1">
      <c r="A5" s="8" t="inlineStr">
        <is>
          <t>Модель помещается на сервер</t>
        </is>
      </c>
      <c r="B5" s="9">
        <f>Sizing!D13</f>
        <v/>
      </c>
    </row>
    <row r="6">
      <c r="A6" s="8" t="inlineStr">
        <is>
          <t>Th_pf / roofline</t>
        </is>
      </c>
      <c r="B6" s="10">
        <f>Sizing!D34</f>
        <v/>
      </c>
      <c r="C6" s="4" t="inlineStr">
        <is>
          <t>×</t>
        </is>
      </c>
    </row>
    <row r="8">
      <c r="A8" s="5" t="inlineStr">
        <is>
          <t>Диагностика / предупреждения</t>
        </is>
      </c>
      <c r="B8" s="6" t="n"/>
      <c r="C8" s="6" t="n"/>
      <c r="D8" s="7" t="n"/>
    </row>
    <row r="9" ht="40" customHeight="1">
      <c r="A9" s="8" t="inlineStr">
        <is>
          <t>K_batch over-stretch (Th_pf &gt; 1.5× roofline)</t>
        </is>
      </c>
      <c r="B9" s="11">
        <f>IF(Sizing!D34&gt;1.5,"⚠ Th_pf &gt; 1.5× roofline — возможно завышение Th_pf через K_batch. Снизьте C или переключите engine_mode=continuous","✓ OK")</f>
        <v/>
      </c>
    </row>
    <row r="10" ht="40" customHeight="1">
      <c r="A10" s="8" t="inlineStr">
        <is>
          <t>Th_pf_emp / Th_dec_emp vs η калибровка</t>
        </is>
      </c>
      <c r="B10" s="11">
        <f>IF(OR(AND(Inputs!D65&gt;0,Inputs!D61=0.2),AND(Inputs!D66&gt;0,Inputs!D63=0.3)),"⚠ Эмпирический Th_* задан, но η_pf/η_mem на дефолтных 0.20/0.30 — калибровочные коэффициенты не переcчитаны (§Е)","✓ OK")</f>
        <v/>
      </c>
    </row>
    <row r="11" ht="40" customHeight="1">
      <c r="A11" s="8" t="inlineStr">
        <is>
          <t>Agentic overlay применён в Inputs</t>
        </is>
      </c>
      <c r="B11" s="11">
        <f>IF(Agentic!D23&lt;=1,"✓ n/a: K_calls=1 (не агентный сценарий)",IF(ABS(Inputs!D15-Agentic!D39)&lt;0.5,"✓ OK: SP_eff применён","⚠ Agentic!K_calls&gt;1, но SP на Inputs не совпадает с SP_eff — перенести 5 значений из листа Agentic"))</f>
        <v/>
      </c>
    </row>
    <row r="12" ht="40" customHeight="1">
      <c r="A12" s="8" t="inlineStr">
        <is>
          <t>Сходимость итераций Servers</t>
        </is>
      </c>
      <c r="B12" s="11">
        <f>IF(ISNUMBER(SEARCH("OK",Sizing!D54)),"✓ OK: итерации сошлись","⚠ ОСЦИЛЛЯЦИЯ: Servers колеблется. Средство: (1) Servers_override в Inputs (возьмите среднее 2 последних); (2) снизить C_sat; (3) проверить Th_dec/Th_pf — BS может прыгать через compute↔mem границу")</f>
        <v/>
      </c>
    </row>
    <row r="14">
      <c r="A14" s="5" t="inlineStr">
        <is>
          <t>Входная нагрузка</t>
        </is>
      </c>
      <c r="B14" s="6" t="n"/>
      <c r="C14" s="6" t="n"/>
      <c r="D14" s="7" t="n"/>
    </row>
    <row r="15">
      <c r="A15" s="8" t="inlineStr">
        <is>
          <t>Всего одновременных сессий (S_sim)</t>
        </is>
      </c>
      <c r="B15" s="12">
        <f>Inputs!D12</f>
        <v/>
      </c>
      <c r="C15" s="4" t="inlineStr">
        <is>
          <t>sess.</t>
        </is>
      </c>
    </row>
    <row r="16">
      <c r="A16" s="8" t="inlineStr">
        <is>
          <t>Запросов/с на сессию (R)</t>
        </is>
      </c>
      <c r="B16" s="13">
        <f>Inputs!D75</f>
        <v/>
      </c>
      <c r="C16" s="4" t="inlineStr">
        <is>
          <t>req/s</t>
        </is>
      </c>
    </row>
    <row r="17">
      <c r="A17" s="8" t="inlineStr">
        <is>
          <t>Целевое TTFT_SLA</t>
        </is>
      </c>
      <c r="B17" s="14">
        <f>Inputs!D77</f>
        <v/>
      </c>
      <c r="C17" s="4" t="inlineStr">
        <is>
          <t>s</t>
        </is>
      </c>
    </row>
    <row r="18">
      <c r="A18" s="8" t="inlineStr">
        <is>
          <t>Целевое e2eLatency_SLA</t>
        </is>
      </c>
      <c r="B18" s="14">
        <f>Inputs!D78</f>
        <v/>
      </c>
      <c r="C18" s="4" t="inlineStr">
        <is>
          <t>s</t>
        </is>
      </c>
    </row>
    <row r="20">
      <c r="A20" s="5" t="inlineStr">
        <is>
          <t>Оборудование</t>
        </is>
      </c>
      <c r="B20" s="6" t="n"/>
      <c r="C20" s="6" t="n"/>
      <c r="D20" s="7" t="n"/>
    </row>
    <row r="21">
      <c r="A21" s="8" t="inlineStr">
        <is>
          <t>GPU</t>
        </is>
      </c>
      <c r="B21" s="3">
        <f>Inputs!D25</f>
        <v/>
      </c>
      <c r="C21" s="4" t="inlineStr">
        <is>
          <t>-</t>
        </is>
      </c>
    </row>
    <row r="22">
      <c r="A22" s="8" t="inlineStr">
        <is>
          <t>GPU на сервер</t>
        </is>
      </c>
      <c r="B22" s="12">
        <f>Inputs!D29</f>
        <v/>
      </c>
      <c r="C22" s="4" t="inlineStr">
        <is>
          <t>pcs</t>
        </is>
      </c>
    </row>
    <row r="23">
      <c r="A23" s="8" t="inlineStr">
        <is>
          <t>Множитель TP (Z)</t>
        </is>
      </c>
      <c r="B23" s="12">
        <f>Inputs!D31</f>
        <v/>
      </c>
      <c r="C23" s="4" t="inlineStr">
        <is>
          <t>-</t>
        </is>
      </c>
    </row>
    <row r="25">
      <c r="A25" s="5" t="inlineStr">
        <is>
          <t>Модель</t>
        </is>
      </c>
      <c r="B25" s="6" t="n"/>
      <c r="C25" s="6" t="n"/>
      <c r="D25" s="7" t="n"/>
    </row>
    <row r="26">
      <c r="A26" s="8" t="inlineStr">
        <is>
          <t>LLM модель</t>
        </is>
      </c>
      <c r="B26" s="3">
        <f>Inputs!D35</f>
        <v/>
      </c>
      <c r="C26" s="4" t="inlineStr">
        <is>
          <t>-</t>
        </is>
      </c>
    </row>
    <row r="27">
      <c r="A27" s="8" t="inlineStr">
        <is>
          <t>Квантизация</t>
        </is>
      </c>
      <c r="B27" s="3">
        <f>Inputs!D53</f>
        <v/>
      </c>
      <c r="C27" s="4" t="inlineStr">
        <is>
          <t>-</t>
        </is>
      </c>
    </row>
    <row r="28">
      <c r="A28" s="8" t="inlineStr">
        <is>
          <t>P_total / P_active</t>
        </is>
      </c>
      <c r="B28" s="3">
        <f>Inputs!D36&amp;" / "&amp;Inputs!D37</f>
        <v/>
      </c>
      <c r="C28" s="4" t="inlineStr">
        <is>
          <t>B</t>
        </is>
      </c>
    </row>
    <row r="29">
      <c r="A29" s="8" t="inlineStr">
        <is>
          <t>Архитектура</t>
        </is>
      </c>
      <c r="B29" s="3">
        <f>Inputs!D43</f>
        <v/>
      </c>
      <c r="C29" s="4" t="inlineStr">
        <is>
          <t>-</t>
        </is>
      </c>
    </row>
    <row r="31">
      <c r="A31" s="5" t="inlineStr">
        <is>
          <t>Память</t>
        </is>
      </c>
      <c r="B31" s="6" t="n"/>
      <c r="C31" s="6" t="n"/>
      <c r="D31" s="7" t="n"/>
    </row>
    <row r="32">
      <c r="A32" s="8" t="inlineStr">
        <is>
          <t>M_model (веса)</t>
        </is>
      </c>
      <c r="B32" s="10">
        <f>Sizing!D5</f>
        <v/>
      </c>
      <c r="C32" s="4" t="inlineStr">
        <is>
          <t>GiB</t>
        </is>
      </c>
    </row>
    <row r="33">
      <c r="A33" s="8" t="inlineStr">
        <is>
          <t>M_KV на сессию</t>
        </is>
      </c>
      <c r="B33" s="10">
        <f>Sizing!D7</f>
        <v/>
      </c>
      <c r="C33" s="4" t="inlineStr">
        <is>
          <t>GiB</t>
        </is>
      </c>
    </row>
    <row r="34">
      <c r="A34" s="8" t="inlineStr">
        <is>
          <t>Сессий на экземпляр (S_TP=Z)</t>
        </is>
      </c>
      <c r="B34" s="12">
        <f>Sizing!D15</f>
        <v/>
      </c>
      <c r="C34" s="4" t="inlineStr">
        <is>
          <t>sess.</t>
        </is>
      </c>
    </row>
    <row r="35">
      <c r="A35" s="8" t="inlineStr">
        <is>
          <t>Сессий на сервер (S_server)</t>
        </is>
      </c>
      <c r="B35" s="12">
        <f>Sizing!D21</f>
        <v/>
      </c>
      <c r="C35" s="4" t="inlineStr">
        <is>
          <t>sess.</t>
        </is>
      </c>
    </row>
    <row r="37">
      <c r="A37" s="5" t="inlineStr">
        <is>
          <t>Производительность</t>
        </is>
      </c>
      <c r="B37" s="6" t="n"/>
      <c r="C37" s="6" t="n"/>
      <c r="D37" s="7" t="n"/>
    </row>
    <row r="38">
      <c r="A38" s="8" t="inlineStr">
        <is>
          <t>Th_pf (per-session)</t>
        </is>
      </c>
      <c r="B38" s="12">
        <f>Sizing!D33</f>
        <v/>
      </c>
      <c r="C38" s="4" t="inlineStr">
        <is>
          <t>tok/s</t>
        </is>
      </c>
    </row>
    <row r="39">
      <c r="A39" s="8" t="inlineStr">
        <is>
          <t>Th_dec (per-session)</t>
        </is>
      </c>
      <c r="B39" s="12">
        <f>Sizing!D38</f>
        <v/>
      </c>
      <c r="C39" s="4" t="inlineStr">
        <is>
          <t>tok/s</t>
        </is>
      </c>
    </row>
    <row r="40">
      <c r="A40" s="8" t="inlineStr">
        <is>
          <t>C^model (req/s на экземпляр)</t>
        </is>
      </c>
      <c r="B40" s="13">
        <f>Sizing!D39</f>
        <v/>
      </c>
      <c r="C40" s="4" t="inlineStr">
        <is>
          <t>req/s</t>
        </is>
      </c>
    </row>
    <row r="41">
      <c r="A41" s="8" t="inlineStr">
        <is>
          <t>Th_server^comp (req/s на сервер)</t>
        </is>
      </c>
      <c r="B41" s="13">
        <f>Sizing!D40</f>
        <v/>
      </c>
      <c r="C41" s="4" t="inlineStr">
        <is>
          <t>req/s</t>
        </is>
      </c>
    </row>
    <row r="43">
      <c r="A43" s="5" t="inlineStr">
        <is>
          <t>Latency</t>
        </is>
      </c>
      <c r="B43" s="6" t="n"/>
      <c r="C43" s="6" t="n"/>
      <c r="D43" s="7" t="n"/>
    </row>
    <row r="44">
      <c r="A44" s="8" t="inlineStr">
        <is>
          <t>TTFT_analyt</t>
        </is>
      </c>
      <c r="B44" s="14">
        <f>Sizing!D59</f>
        <v/>
      </c>
      <c r="C44" s="4" t="inlineStr">
        <is>
          <t>s</t>
        </is>
      </c>
    </row>
    <row r="45">
      <c r="A45" s="8" t="inlineStr">
        <is>
          <t>e2eLatency_analyt</t>
        </is>
      </c>
      <c r="B45" s="14">
        <f>Sizing!D61</f>
        <v/>
      </c>
      <c r="C45" s="4" t="inlineStr">
        <is>
          <t>s</t>
        </is>
      </c>
    </row>
    <row r="46">
      <c r="A46" s="8" t="inlineStr">
        <is>
          <t>e2eLatency_load</t>
        </is>
      </c>
      <c r="B46" s="14">
        <f>Sizing!D62</f>
        <v/>
      </c>
      <c r="C46" s="4" t="inlineStr">
        <is>
          <t>s</t>
        </is>
      </c>
    </row>
    <row r="48">
      <c r="A48" s="5" t="inlineStr">
        <is>
          <t>SLA статус</t>
        </is>
      </c>
      <c r="B48" s="6" t="n"/>
      <c r="C48" s="6" t="n"/>
      <c r="D48" s="7" t="n"/>
    </row>
    <row r="49">
      <c r="A49" s="8" t="inlineStr">
        <is>
          <t>TTFT</t>
        </is>
      </c>
      <c r="B49" s="15">
        <f>IF(Inputs!D77&gt;=Sizing!D59,"✓ OK: в пределах SLA","✗ FAIL: превышение SLA")</f>
        <v/>
      </c>
    </row>
    <row r="50">
      <c r="A50" s="8" t="inlineStr">
        <is>
          <t>e2eLatency</t>
        </is>
      </c>
      <c r="B50" s="16">
        <f>IF(Inputs!D78&gt;=Sizing!D62,"✓ OK: в пределах SLA","✗ FAIL: превышение SLA")</f>
        <v/>
      </c>
    </row>
    <row r="52">
      <c r="A52" s="5" t="inlineStr">
        <is>
          <t>ИТОГОВОЕ РЕШЕНИЕ</t>
        </is>
      </c>
      <c r="B52" s="6" t="n"/>
      <c r="C52" s="6" t="n"/>
      <c r="D52" s="7" t="n"/>
    </row>
    <row r="53">
      <c r="A53" s="8" t="inlineStr">
        <is>
          <t>Серверов по памяти</t>
        </is>
      </c>
      <c r="B53" s="17">
        <f>Sizing!D22</f>
        <v/>
      </c>
      <c r="C53" s="4" t="inlineStr">
        <is>
          <t>pcs</t>
        </is>
      </c>
    </row>
    <row r="54">
      <c r="A54" s="8" t="inlineStr">
        <is>
          <t>Серверов по compute (single-shot)</t>
        </is>
      </c>
      <c r="B54" s="17">
        <f>Sizing!D41</f>
        <v/>
      </c>
      <c r="C54" s="4" t="inlineStr">
        <is>
          <t>pcs</t>
        </is>
      </c>
    </row>
    <row r="55">
      <c r="A55" s="8" t="inlineStr">
        <is>
          <t>Серверов по compute (после итераций §6.4)</t>
        </is>
      </c>
      <c r="B55" s="17">
        <f>Sizing!D53</f>
        <v/>
      </c>
      <c r="C55" s="4" t="inlineStr">
        <is>
          <t>pcs</t>
        </is>
      </c>
    </row>
    <row r="56">
      <c r="A56" s="8" t="inlineStr">
        <is>
          <t>ИТОГО серверов (max после итераций)</t>
        </is>
      </c>
      <c r="B56" s="17">
        <f>Sizing!D68</f>
        <v/>
      </c>
      <c r="C56" s="4" t="inlineStr">
        <is>
          <t>pcs</t>
        </is>
      </c>
    </row>
    <row r="57">
      <c r="A57" s="8" t="inlineStr">
        <is>
          <t>Всего GPU</t>
        </is>
      </c>
      <c r="B57" s="17">
        <f>Sizing!D69</f>
        <v/>
      </c>
      <c r="C57" s="4" t="inlineStr">
        <is>
          <t>pcs</t>
        </is>
      </c>
    </row>
    <row r="59">
      <c r="A59" s="5" t="inlineStr">
        <is>
          <t>Финальные значения (при Servers_final)</t>
        </is>
      </c>
      <c r="B59" s="6" t="n"/>
      <c r="C59" s="6" t="n"/>
      <c r="D59" s="7" t="n"/>
    </row>
    <row r="60">
      <c r="A60" s="8" t="inlineStr">
        <is>
          <t>BS_real (фактический батч)</t>
        </is>
      </c>
      <c r="B60" s="17">
        <f>Sizing!D70</f>
        <v/>
      </c>
      <c r="C60" s="4" t="inlineStr">
        <is>
          <t>sess.</t>
        </is>
      </c>
    </row>
    <row r="61">
      <c r="A61" s="8" t="inlineStr">
        <is>
          <t>Th_dec (фактическая per-session)</t>
        </is>
      </c>
      <c r="B61" s="17">
        <f>Sizing!D71</f>
        <v/>
      </c>
      <c r="C61" s="4" t="inlineStr">
        <is>
          <t>tok/s</t>
        </is>
      </c>
    </row>
    <row r="62">
      <c r="A62" s="8" t="inlineStr">
        <is>
          <t>e2eLatency (фактическая)</t>
        </is>
      </c>
      <c r="B62" s="18">
        <f>Sizing!D72</f>
        <v/>
      </c>
      <c r="C62" s="4" t="inlineStr">
        <is>
          <t>s</t>
        </is>
      </c>
    </row>
    <row r="63" ht="48" customHeight="1">
      <c r="A63" s="8" t="inlineStr">
        <is>
          <t>Итоговый статус SLA</t>
        </is>
      </c>
      <c r="B63" s="9">
        <f>Sizing!D73</f>
        <v/>
      </c>
    </row>
  </sheetData>
  <mergeCells count="12">
    <mergeCell ref="A1:D1"/>
    <mergeCell ref="A37:D37"/>
    <mergeCell ref="A8:D8"/>
    <mergeCell ref="A31:D31"/>
    <mergeCell ref="A4:D4"/>
    <mergeCell ref="A48:D48"/>
    <mergeCell ref="A20:D20"/>
    <mergeCell ref="A52:D52"/>
    <mergeCell ref="A59:D59"/>
    <mergeCell ref="A25:D25"/>
    <mergeCell ref="A43:D43"/>
    <mergeCell ref="A14:D14"/>
  </mergeCells>
  <conditionalFormatting sqref="B5">
    <cfRule type="expression" priority="1" dxfId="0">
      <formula>ISNUMBER(SEARCH("OK",B5))</formula>
    </cfRule>
    <cfRule type="expression" priority="2" dxfId="1">
      <formula>ISNUMBER(SEARCH("FAIL",B5))</formula>
    </cfRule>
  </conditionalFormatting>
  <conditionalFormatting sqref="B9">
    <cfRule type="expression" priority="3" dxfId="1">
      <formula>ISNUMBER(SEARCH("⚠",B9))</formula>
    </cfRule>
    <cfRule type="expression" priority="4" dxfId="0">
      <formula>ISNUMBER(SEARCH("✓",B9))</formula>
    </cfRule>
  </conditionalFormatting>
  <conditionalFormatting sqref="B10">
    <cfRule type="expression" priority="5" dxfId="1">
      <formula>ISNUMBER(SEARCH("⚠",B10))</formula>
    </cfRule>
    <cfRule type="expression" priority="6" dxfId="0">
      <formula>ISNUMBER(SEARCH("✓",B10))</formula>
    </cfRule>
  </conditionalFormatting>
  <conditionalFormatting sqref="B11">
    <cfRule type="expression" priority="7" dxfId="1">
      <formula>ISNUMBER(SEARCH("⚠",B11))</formula>
    </cfRule>
    <cfRule type="expression" priority="8" dxfId="0">
      <formula>ISNUMBER(SEARCH("✓",B11))</formula>
    </cfRule>
  </conditionalFormatting>
  <conditionalFormatting sqref="B12">
    <cfRule type="expression" priority="9" dxfId="1">
      <formula>ISNUMBER(SEARCH("⚠",B12))</formula>
    </cfRule>
    <cfRule type="expression" priority="10" dxfId="0">
      <formula>ISNUMBER(SEARCH("✓",B12))</formula>
    </cfRule>
  </conditionalFormatting>
  <conditionalFormatting sqref="B63">
    <cfRule type="expression" priority="11" dxfId="0">
      <formula>ISNUMBER(SEARCH("OK",B63))</formula>
    </cfRule>
    <cfRule type="expression" priority="12" dxfId="1">
      <formula>ISNUMBER(SEARCH("FAIL",B63))</formula>
    </cfRule>
  </conditionalFormatting>
  <conditionalFormatting sqref="B49">
    <cfRule type="expression" priority="13" dxfId="0">
      <formula>ISNUMBER(SEARCH("OK",B49))</formula>
    </cfRule>
    <cfRule type="expression" priority="14" dxfId="1">
      <formula>ISNUMBER(SEARCH("FAIL",B49))</formula>
    </cfRule>
  </conditionalFormatting>
  <conditionalFormatting sqref="B50">
    <cfRule type="expression" priority="15" dxfId="0">
      <formula>ISNUMBER(SEARCH("OK",B50))</formula>
    </cfRule>
    <cfRule type="expression" priority="16" dxfId="1">
      <formula>ISNUMBER(SEARCH("FAIL",B50))</formula>
    </cfRule>
  </conditionalFormatting>
  <printOptions horizontalCentered="1"/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78"/>
  <sheetViews>
    <sheetView workbookViewId="0">
      <selection activeCell="A1" sqref="A1"/>
    </sheetView>
  </sheetViews>
  <sheetFormatPr baseColWidth="8" defaultRowHeight="15"/>
  <cols>
    <col width="44" customWidth="1" min="1" max="1"/>
    <col width="56" customWidth="1" min="2" max="2"/>
    <col width="11" customWidth="1" min="3" max="3"/>
    <col width="17" customWidth="1" min="4" max="4"/>
    <col width="17" customWidth="1" min="5" max="5"/>
    <col width="17" customWidth="1" min="6" max="6"/>
    <col width="17" customWidth="1" min="7" max="7"/>
    <col width="10" customWidth="1" min="8" max="8"/>
  </cols>
  <sheetData>
    <row r="1">
      <c r="A1" s="1" t="inlineStr">
        <is>
          <t>Методика расчёта GPU — Калькулятор параметров</t>
        </is>
      </c>
    </row>
    <row r="2">
      <c r="A2" s="2" t="inlineStr">
        <is>
          <t>Ввод (INPUT)</t>
        </is>
      </c>
      <c r="B2" s="3" t="inlineStr">
        <is>
          <t>Расчёт / Итог (bold)</t>
        </is>
      </c>
      <c r="C2" s="4" t="inlineStr">
        <is>
          <t>Проверка ✓/✗ — окрашивается по результату</t>
        </is>
      </c>
    </row>
    <row r="4">
      <c r="A4" s="5" t="inlineStr">
        <is>
          <t>2. Определение нагрузки в пользователях</t>
        </is>
      </c>
      <c r="B4" s="6" t="n"/>
      <c r="C4" s="6" t="n"/>
      <c r="D4" s="6" t="n"/>
      <c r="E4" s="6" t="n"/>
      <c r="F4" s="6" t="n"/>
      <c r="G4" s="6" t="n"/>
      <c r="H4" s="7" t="n"/>
    </row>
    <row r="5">
      <c r="D5" s="19" t="inlineStr">
        <is>
          <t>Сегмент 1</t>
        </is>
      </c>
      <c r="E5" s="19" t="inlineStr">
        <is>
          <t>Сегмент 2</t>
        </is>
      </c>
      <c r="F5" s="19" t="inlineStr">
        <is>
          <t>Сегмент 3</t>
        </is>
      </c>
      <c r="G5" s="19" t="inlineStr">
        <is>
          <t>Сегмент 4</t>
        </is>
      </c>
    </row>
    <row r="6">
      <c r="A6" s="8" t="inlineStr">
        <is>
          <t>Название сегмента</t>
        </is>
      </c>
      <c r="B6" s="4" t="inlineStr">
        <is>
          <t>Напр.: ритейл, внутренние, VIP</t>
        </is>
      </c>
      <c r="C6" s="4" t="inlineStr">
        <is>
          <t>INPUT</t>
        </is>
      </c>
      <c r="D6" s="2" t="inlineStr">
        <is>
          <t>Внутренние</t>
        </is>
      </c>
      <c r="E6" s="2" t="inlineStr">
        <is>
          <t>Внешние</t>
        </is>
      </c>
      <c r="F6" s="2" t="inlineStr"/>
      <c r="G6" s="2" t="inlineStr"/>
    </row>
    <row r="7">
      <c r="A7" s="8" t="inlineStr">
        <is>
          <t>Число пользователей (N_users)</t>
        </is>
      </c>
      <c r="B7" s="4" t="inlineStr">
        <is>
          <t>Всего пользователей в сегменте</t>
        </is>
      </c>
      <c r="C7" s="4" t="inlineStr">
        <is>
          <t>INPUT</t>
        </is>
      </c>
      <c r="D7" s="20" t="n">
        <v>50000</v>
      </c>
      <c r="E7" s="20" t="n">
        <v>10000</v>
      </c>
      <c r="F7" s="20" t="n">
        <v>0</v>
      </c>
      <c r="G7" s="20" t="n">
        <v>0</v>
      </c>
      <c r="H7" s="4" t="inlineStr">
        <is>
          <t>users</t>
        </is>
      </c>
    </row>
    <row r="8">
      <c r="A8" s="8" t="inlineStr">
        <is>
          <t>Коэф. проникновения (K_pen)</t>
        </is>
      </c>
      <c r="B8" s="4" t="inlineStr">
        <is>
          <t>Доля использующих GenAI, 0–1</t>
        </is>
      </c>
      <c r="C8" s="4" t="inlineStr">
        <is>
          <t>INPUT</t>
        </is>
      </c>
      <c r="D8" s="21" t="n">
        <v>0.3</v>
      </c>
      <c r="E8" s="21" t="n">
        <v>0.2</v>
      </c>
      <c r="F8" s="21" t="n">
        <v>0</v>
      </c>
      <c r="G8" s="21" t="n">
        <v>0</v>
      </c>
      <c r="H8" s="4" t="inlineStr">
        <is>
          <t>ratio</t>
        </is>
      </c>
    </row>
    <row r="9">
      <c r="A9" s="8" t="inlineStr">
        <is>
          <t>Коэф. одновременности (K_sim)</t>
        </is>
      </c>
      <c r="B9" s="4" t="inlineStr">
        <is>
          <t>Доля одновременно активных пользователей</t>
        </is>
      </c>
      <c r="C9" s="4" t="inlineStr">
        <is>
          <t>INPUT</t>
        </is>
      </c>
      <c r="D9" s="21" t="n">
        <v>0.1</v>
      </c>
      <c r="E9" s="21" t="n">
        <v>0.15</v>
      </c>
      <c r="F9" s="21" t="n">
        <v>0</v>
      </c>
      <c r="G9" s="21" t="n">
        <v>0</v>
      </c>
      <c r="H9" s="4" t="inlineStr">
        <is>
          <t>ratio</t>
        </is>
      </c>
    </row>
    <row r="10">
      <c r="A10" s="8" t="inlineStr">
        <is>
          <t>Сессий на пользователя (J)</t>
        </is>
      </c>
      <c r="B10" s="4" t="inlineStr">
        <is>
          <t>Обычно 1</t>
        </is>
      </c>
      <c r="C10" s="4" t="inlineStr">
        <is>
          <t>INPUT</t>
        </is>
      </c>
      <c r="D10" s="20" t="n">
        <v>1</v>
      </c>
      <c r="E10" s="20" t="n">
        <v>1</v>
      </c>
      <c r="F10" s="20" t="n">
        <v>1</v>
      </c>
      <c r="G10" s="20" t="n">
        <v>1</v>
      </c>
      <c r="H10" s="4" t="inlineStr">
        <is>
          <t>sess./user</t>
        </is>
      </c>
    </row>
    <row r="11">
      <c r="A11" s="8" t="inlineStr">
        <is>
          <t>Одновременных сессий сегмента (S_sim,i)</t>
        </is>
      </c>
      <c r="B11" s="4" t="inlineStr">
        <is>
          <t>Формула: N_users · K_pen · K_sim · J</t>
        </is>
      </c>
      <c r="C11" s="4" t="inlineStr">
        <is>
          <t>calc</t>
        </is>
      </c>
      <c r="D11" s="12">
        <f>D7*D8*D9*D10</f>
        <v/>
      </c>
      <c r="E11" s="12">
        <f>E7*E8*E9*E10</f>
        <v/>
      </c>
      <c r="F11" s="12">
        <f>F7*F8*F9*F10</f>
        <v/>
      </c>
      <c r="G11" s="12">
        <f>G7*G8*G9*G10</f>
        <v/>
      </c>
      <c r="H11" s="4" t="inlineStr">
        <is>
          <t>sess.</t>
        </is>
      </c>
    </row>
    <row r="12">
      <c r="A12" s="8" t="inlineStr">
        <is>
          <t>Всего одновременных сессий (S_sim)</t>
        </is>
      </c>
      <c r="B12" s="4" t="inlineStr">
        <is>
          <t>Сумма по всем сегментам</t>
        </is>
      </c>
      <c r="C12" s="4" t="inlineStr">
        <is>
          <t>calc</t>
        </is>
      </c>
      <c r="D12" s="12">
        <f>SUM(D11:G11)</f>
        <v/>
      </c>
      <c r="H12" s="4" t="inlineStr">
        <is>
          <t>sess.</t>
        </is>
      </c>
    </row>
    <row r="14">
      <c r="A14" s="5" t="inlineStr">
        <is>
          <t>2.2. Токеновый профиль одной сессии</t>
        </is>
      </c>
      <c r="B14" s="6" t="n"/>
      <c r="C14" s="6" t="n"/>
      <c r="D14" s="6" t="n"/>
      <c r="E14" s="6" t="n"/>
      <c r="F14" s="6" t="n"/>
      <c r="G14" s="6" t="n"/>
      <c r="H14" s="7" t="n"/>
    </row>
    <row r="15">
      <c r="A15" s="8" t="inlineStr">
        <is>
          <t>Число токенов системного промпта (SP)</t>
        </is>
      </c>
      <c r="B15" s="4" t="inlineStr">
        <is>
          <t>По умолчанию 1000 (~1000 символов)</t>
        </is>
      </c>
      <c r="C15" s="4" t="inlineStr">
        <is>
          <t>INPUT</t>
        </is>
      </c>
      <c r="D15" s="20" t="n">
        <v>1000</v>
      </c>
      <c r="H15" s="4" t="inlineStr">
        <is>
          <t>tokens</t>
        </is>
      </c>
    </row>
    <row r="16">
      <c r="A16" s="8" t="inlineStr">
        <is>
          <t>Число токенов входного запроса (Prp)</t>
        </is>
      </c>
      <c r="B16" s="4" t="inlineStr">
        <is>
          <t>По умолчанию 200 (~500 символов)</t>
        </is>
      </c>
      <c r="C16" s="4" t="inlineStr">
        <is>
          <t>INPUT</t>
        </is>
      </c>
      <c r="D16" s="20" t="n">
        <v>200</v>
      </c>
      <c r="H16" s="4" t="inlineStr">
        <is>
          <t>tokens</t>
        </is>
      </c>
    </row>
    <row r="17">
      <c r="A17" s="8" t="inlineStr">
        <is>
          <t>Число токенов ответа модели (A)</t>
        </is>
      </c>
      <c r="B17" s="4" t="inlineStr">
        <is>
          <t>По умолчанию 400 (~900 символов)</t>
        </is>
      </c>
      <c r="C17" s="4" t="inlineStr">
        <is>
          <t>INPUT</t>
        </is>
      </c>
      <c r="D17" s="20" t="n">
        <v>400</v>
      </c>
      <c r="H17" s="4" t="inlineStr">
        <is>
          <t>tokens</t>
        </is>
      </c>
    </row>
    <row r="18">
      <c r="A18" s="8" t="inlineStr">
        <is>
          <t>Бюджет токенов на reasoning (MRT)</t>
        </is>
      </c>
      <c r="B18" s="4" t="inlineStr">
        <is>
          <t>0 если модель без reasoning; 20–50% от max для reasoning</t>
        </is>
      </c>
      <c r="C18" s="4" t="inlineStr">
        <is>
          <t>INPUT</t>
        </is>
      </c>
      <c r="D18" s="20" t="n">
        <v>0</v>
      </c>
      <c r="H18" s="4" t="inlineStr">
        <is>
          <t>tokens</t>
        </is>
      </c>
    </row>
    <row r="19">
      <c r="A19" s="8" t="inlineStr">
        <is>
          <t>Число пар запрос-ответ в сессии (N_prp)</t>
        </is>
      </c>
      <c r="B19" s="4" t="inlineStr">
        <is>
          <t>По умолчанию 5</t>
        </is>
      </c>
      <c r="C19" s="4" t="inlineStr">
        <is>
          <t>INPUT</t>
        </is>
      </c>
      <c r="D19" s="20" t="n">
        <v>5</v>
      </c>
      <c r="H19" s="4" t="inlineStr">
        <is>
          <t>pcs</t>
        </is>
      </c>
    </row>
    <row r="20">
      <c r="A20" s="8" t="inlineStr">
        <is>
          <t>Полная длина последовательности (SL_raw)</t>
        </is>
      </c>
      <c r="B20" s="4" t="inlineStr">
        <is>
          <t>SL_raw = SP + N_prp · (Prp + MRT + A). Используется для KV-кэша.</t>
        </is>
      </c>
      <c r="C20" s="4" t="inlineStr">
        <is>
          <t>calc</t>
        </is>
      </c>
      <c r="D20" s="12">
        <f>D15+D19*(D16+D18+D17)</f>
        <v/>
      </c>
      <c r="H20" s="4" t="inlineStr">
        <is>
          <t>tokens</t>
        </is>
      </c>
    </row>
    <row r="21">
      <c r="A21" s="8" t="inlineStr">
        <is>
          <t>Длина входа на этапе prefill (SL_pf)</t>
        </is>
      </c>
      <c r="B21" s="4" t="inlineStr">
        <is>
          <t>SL_pf = SP + N_prp·Prp + (N_prp-1)·MRT. Для TTFT и Th_pf.</t>
        </is>
      </c>
      <c r="C21" s="4" t="inlineStr">
        <is>
          <t>calc</t>
        </is>
      </c>
      <c r="D21" s="12">
        <f>D15+D19*D16+MAX(0,D19-1)*D18</f>
        <v/>
      </c>
      <c r="H21" s="4" t="inlineStr">
        <is>
          <t>tokens</t>
        </is>
      </c>
    </row>
    <row r="22">
      <c r="A22" s="8" t="inlineStr">
        <is>
          <t>Число токенов decode (T_dec)</t>
        </is>
      </c>
      <c r="B22" s="4" t="inlineStr">
        <is>
          <t>T_dec = A + MRT. Генерируется на текущем запросе.</t>
        </is>
      </c>
      <c r="C22" s="4" t="inlineStr">
        <is>
          <t>calc</t>
        </is>
      </c>
      <c r="D22" s="12">
        <f>D17+D18</f>
        <v/>
      </c>
      <c r="H22" s="4" t="inlineStr">
        <is>
          <t>tokens</t>
        </is>
      </c>
    </row>
    <row r="24">
      <c r="A24" s="5" t="inlineStr">
        <is>
          <t>4. Аппаратная конфигурация</t>
        </is>
      </c>
      <c r="B24" s="6" t="n"/>
      <c r="C24" s="6" t="n"/>
      <c r="D24" s="6" t="n"/>
      <c r="E24" s="6" t="n"/>
      <c r="F24" s="6" t="n"/>
      <c r="G24" s="6" t="n"/>
      <c r="H24" s="7" t="n"/>
    </row>
    <row r="25">
      <c r="A25" s="8" t="inlineStr">
        <is>
          <t>Модель GPU</t>
        </is>
      </c>
      <c r="B25" s="4" t="inlineStr">
        <is>
          <t>Выбрать из списка</t>
        </is>
      </c>
      <c r="C25" s="4" t="inlineStr">
        <is>
          <t>INPUT</t>
        </is>
      </c>
      <c r="D25" s="2" t="inlineStr">
        <is>
          <t>H100 SXM 80GB</t>
        </is>
      </c>
      <c r="H25" s="4" t="inlineStr">
        <is>
          <t>-</t>
        </is>
      </c>
    </row>
    <row r="26">
      <c r="A26" s="8" t="inlineStr">
        <is>
          <t>Память одного GPU (GPU_memory)</t>
        </is>
      </c>
      <c r="B26" s="4" t="inlineStr">
        <is>
          <t>Авто из справочника</t>
        </is>
      </c>
      <c r="C26" s="4" t="inlineStr">
        <is>
          <t>lookup</t>
        </is>
      </c>
      <c r="D26" s="10">
        <f>IFERROR(INDEX(Reference!$B$3:$B$20,MATCH(D25,Reference!$A$3:$A$20,0)),0)</f>
        <v/>
      </c>
      <c r="H26" s="4" t="inlineStr">
        <is>
          <t>GiB</t>
        </is>
      </c>
    </row>
    <row r="27">
      <c r="A27" s="8" t="inlineStr">
        <is>
          <t>Пиковая производительность GPU (TFLOPS FP16)</t>
        </is>
      </c>
      <c r="B27" s="4" t="inlineStr">
        <is>
          <t>Авто из справочника</t>
        </is>
      </c>
      <c r="C27" s="4" t="inlineStr">
        <is>
          <t>lookup</t>
        </is>
      </c>
      <c r="D27" s="12">
        <f>IFERROR(INDEX(Reference!$C$3:$C$20,MATCH(D25,Reference!$A$3:$A$20,0)),0)</f>
        <v/>
      </c>
      <c r="H27" s="4" t="inlineStr">
        <is>
          <t>TFLOPS</t>
        </is>
      </c>
    </row>
    <row r="28">
      <c r="A28" s="8" t="inlineStr">
        <is>
          <t>Пропускная способность памяти GPU (BW_GPU)</t>
        </is>
      </c>
      <c r="B28" s="4" t="inlineStr">
        <is>
          <t>Авто из справочника</t>
        </is>
      </c>
      <c r="C28" s="4" t="inlineStr">
        <is>
          <t>lookup</t>
        </is>
      </c>
      <c r="D28" s="12">
        <f>IFERROR(INDEX(Reference!$D$3:$D$20,MATCH(D25,Reference!$A$3:$A$20,0)),0)</f>
        <v/>
      </c>
      <c r="H28" s="4" t="inlineStr">
        <is>
          <t>GB/s</t>
        </is>
      </c>
    </row>
    <row r="29">
      <c r="A29" s="8" t="inlineStr">
        <is>
          <t>Число GPU на сервере (GPU_count_server)</t>
        </is>
      </c>
      <c r="B29" s="4" t="inlineStr">
        <is>
          <t>Обычно 8 для DGX-класса</t>
        </is>
      </c>
      <c r="C29" s="4" t="inlineStr">
        <is>
          <t>INPUT</t>
        </is>
      </c>
      <c r="D29" s="20" t="n">
        <v>8</v>
      </c>
      <c r="H29" s="4" t="inlineStr">
        <is>
          <t>pcs</t>
        </is>
      </c>
    </row>
    <row r="30">
      <c r="A30" s="8" t="inlineStr">
        <is>
          <t>Коэффициент доступной памяти (K_avail)</t>
        </is>
      </c>
      <c r="B30" s="4" t="inlineStr">
        <is>
          <t>Резерв под систему, обычно 0.9</t>
        </is>
      </c>
      <c r="C30" s="4" t="inlineStr">
        <is>
          <t>INPUT</t>
        </is>
      </c>
      <c r="D30" s="22" t="n">
        <v>0.9</v>
      </c>
      <c r="H30" s="4" t="inlineStr">
        <is>
          <t>ratio</t>
        </is>
      </c>
    </row>
    <row r="31">
      <c r="A31" s="8" t="inlineStr">
        <is>
          <t>Множитель TP (Z × TP_min)</t>
        </is>
      </c>
      <c r="B31" s="4" t="inlineStr">
        <is>
          <t>Итоговый TP на экземпляр = Z · TP_min. Пример: Z=4 при TP_min=2 → 8 GPU/экз. Условие: Z·TP_min ≤ GPU_count_server.</t>
        </is>
      </c>
      <c r="C31" s="4" t="inlineStr">
        <is>
          <t>INPUT</t>
        </is>
      </c>
      <c r="D31" s="20" t="n">
        <v>4</v>
      </c>
      <c r="H31" s="4" t="inlineStr">
        <is>
          <t>×</t>
        </is>
      </c>
    </row>
    <row r="32">
      <c r="A32" s="8" t="inlineStr">
        <is>
          <t>Ручной override числа серверов</t>
        </is>
      </c>
      <c r="B32" s="4" t="inlineStr">
        <is>
          <t>0 = авто (max из mem/compute). Задайте &gt;0, чтобы зафиксировать число серверов и посмотреть, выполняется ли SLA при такой конфигурации.</t>
        </is>
      </c>
      <c r="C32" s="4" t="inlineStr">
        <is>
          <t>INPUT</t>
        </is>
      </c>
      <c r="D32" s="20" t="n">
        <v>0</v>
      </c>
      <c r="H32" s="4" t="inlineStr">
        <is>
          <t>pcs</t>
        </is>
      </c>
    </row>
    <row r="34">
      <c r="A34" s="5" t="inlineStr">
        <is>
          <t>3. LLM модель</t>
        </is>
      </c>
      <c r="B34" s="6" t="n"/>
      <c r="C34" s="6" t="n"/>
      <c r="D34" s="6" t="n"/>
      <c r="E34" s="6" t="n"/>
      <c r="F34" s="6" t="n"/>
      <c r="G34" s="6" t="n"/>
      <c r="H34" s="7" t="n"/>
    </row>
    <row r="35">
      <c r="A35" s="8" t="inlineStr">
        <is>
          <t>Название модели</t>
        </is>
      </c>
      <c r="B35" s="4" t="inlineStr">
        <is>
          <t>Выбрать из списка</t>
        </is>
      </c>
      <c r="C35" s="4" t="inlineStr">
        <is>
          <t>INPUT</t>
        </is>
      </c>
      <c r="D35" s="2" t="inlineStr">
        <is>
          <t>Qwen3-30B-A3B</t>
        </is>
      </c>
      <c r="H35" s="4" t="inlineStr">
        <is>
          <t>-</t>
        </is>
      </c>
    </row>
    <row r="36">
      <c r="A36" s="8" t="inlineStr">
        <is>
          <t>P_total (полное число параметров)</t>
        </is>
      </c>
      <c r="B36" s="4" t="inlineStr">
        <is>
          <t>Авто из справочника</t>
        </is>
      </c>
      <c r="C36" s="4" t="inlineStr">
        <is>
          <t>lookup</t>
        </is>
      </c>
      <c r="D36" s="10">
        <f>IFERROR(INDEX(Reference!$B$24:$B$85,MATCH(D35,Reference!$A$24:$A$85,0)),0)</f>
        <v/>
      </c>
      <c r="H36" s="4" t="inlineStr">
        <is>
          <t>B</t>
        </is>
      </c>
    </row>
    <row r="37">
      <c r="A37" s="8" t="inlineStr">
        <is>
          <t>P_active (активных параметров)</t>
        </is>
      </c>
      <c r="B37" s="4" t="inlineStr">
        <is>
          <t>Для dense = P_total; для MoE меньше</t>
        </is>
      </c>
      <c r="C37" s="4" t="inlineStr">
        <is>
          <t>lookup</t>
        </is>
      </c>
      <c r="D37" s="10">
        <f>IFERROR(INDEX(Reference!$C$24:$C$85,MATCH(D35,Reference!$A$24:$A$85,0)),0)</f>
        <v/>
      </c>
      <c r="H37" s="4" t="inlineStr">
        <is>
          <t>B</t>
        </is>
      </c>
    </row>
    <row r="38">
      <c r="A38" s="8" t="inlineStr">
        <is>
          <t>Число слоёв (L)</t>
        </is>
      </c>
      <c r="B38" s="4" t="inlineStr">
        <is>
          <t>Авто из справочника</t>
        </is>
      </c>
      <c r="C38" s="4" t="inlineStr">
        <is>
          <t>lookup</t>
        </is>
      </c>
      <c r="D38" s="12">
        <f>IFERROR(INDEX(Reference!$D$24:$D$85,MATCH(D35,Reference!$A$24:$A$85,0)),0)</f>
        <v/>
      </c>
      <c r="H38" s="4" t="inlineStr">
        <is>
          <t>pcs</t>
        </is>
      </c>
    </row>
    <row r="39">
      <c r="A39" s="8" t="inlineStr">
        <is>
          <t>Размер скрытого состояния (H)</t>
        </is>
      </c>
      <c r="B39" s="4" t="inlineStr">
        <is>
          <t>Авто из справочника</t>
        </is>
      </c>
      <c r="C39" s="4" t="inlineStr">
        <is>
          <t>lookup</t>
        </is>
      </c>
      <c r="D39" s="12">
        <f>IFERROR(INDEX(Reference!$E$24:$E$85,MATCH(D35,Reference!$A$24:$A$85,0)),0)</f>
        <v/>
      </c>
      <c r="H39" s="4" t="inlineStr">
        <is>
          <t>pcs</t>
        </is>
      </c>
    </row>
    <row r="40">
      <c r="A40" s="8" t="inlineStr">
        <is>
          <t>Число голов внимания (N_attention)</t>
        </is>
      </c>
      <c r="B40" s="4" t="inlineStr">
        <is>
          <t>Авто из справочника</t>
        </is>
      </c>
      <c r="C40" s="4" t="inlineStr">
        <is>
          <t>lookup</t>
        </is>
      </c>
      <c r="D40" s="12">
        <f>IFERROR(INDEX(Reference!$F$24:$F$85,MATCH(D35,Reference!$A$24:$A$85,0)),0)</f>
        <v/>
      </c>
      <c r="H40" s="4" t="inlineStr">
        <is>
          <t>pcs</t>
        </is>
      </c>
    </row>
    <row r="41">
      <c r="A41" s="8" t="inlineStr">
        <is>
          <t>Число KV-голов (N_kv)</t>
        </is>
      </c>
      <c r="B41" s="4" t="inlineStr">
        <is>
          <t>Авто из справочника. MHA: =N_attn; GQA: &lt;N_attn; MQA: 1</t>
        </is>
      </c>
      <c r="C41" s="4" t="inlineStr">
        <is>
          <t>lookup</t>
        </is>
      </c>
      <c r="D41" s="12">
        <f>IFERROR(INDEX(Reference!$G$24:$G$85,MATCH(D35,Reference!$A$24:$A$85,0)),0)</f>
        <v/>
      </c>
      <c r="H41" s="4" t="inlineStr">
        <is>
          <t>pcs</t>
        </is>
      </c>
    </row>
    <row r="42">
      <c r="A42" s="8" t="inlineStr">
        <is>
          <t>Размерность одной головы (head_dim)</t>
        </is>
      </c>
      <c r="B42" s="4" t="inlineStr">
        <is>
          <t>Авто из справочника</t>
        </is>
      </c>
      <c r="C42" s="4" t="inlineStr">
        <is>
          <t>lookup</t>
        </is>
      </c>
      <c r="D42" s="12">
        <f>IFERROR(INDEX(Reference!$H$24:$H$85,MATCH(D35,Reference!$A$24:$A$85,0)),0)</f>
        <v/>
      </c>
      <c r="H42" s="4" t="inlineStr">
        <is>
          <t>pcs</t>
        </is>
      </c>
    </row>
    <row r="43">
      <c r="A43" s="8" t="inlineStr">
        <is>
          <t>Архитектура</t>
        </is>
      </c>
      <c r="B43" s="4" t="inlineStr">
        <is>
          <t>Авто из справочника (справочно)</t>
        </is>
      </c>
      <c r="C43" s="4" t="inlineStr">
        <is>
          <t>lookup</t>
        </is>
      </c>
      <c r="D43" s="3">
        <f>IFERROR(INDEX(Reference!$I$24:$I$85,MATCH(D35,Reference!$A$24:$A$85,0)),0)</f>
        <v/>
      </c>
      <c r="H43" s="4" t="inlineStr">
        <is>
          <t>-</t>
        </is>
      </c>
    </row>
    <row r="44">
      <c r="A44" s="8" t="inlineStr">
        <is>
          <t>Макс. контекстное окно модели (TS_max)</t>
        </is>
      </c>
      <c r="B44" s="4" t="inlineStr">
        <is>
          <t>Авто из справочника</t>
        </is>
      </c>
      <c r="C44" s="4" t="inlineStr">
        <is>
          <t>lookup</t>
        </is>
      </c>
      <c r="D44" s="12">
        <f>IFERROR(INDEX(Reference!$J$24:$J$85,MATCH(D35,Reference!$A$24:$A$85,0)),0)</f>
        <v/>
      </c>
      <c r="H44" s="4" t="inlineStr">
        <is>
          <t>tokens</t>
        </is>
      </c>
    </row>
    <row r="45">
      <c r="A45" s="8" t="inlineStr">
        <is>
          <t>kv_lora_rank (латент MLA)</t>
        </is>
      </c>
      <c r="B45" s="4" t="inlineStr">
        <is>
          <t>Только для MLA; 0 для MHA/GQA/MQA. DeepSeek: 512</t>
        </is>
      </c>
      <c r="C45" s="4" t="inlineStr">
        <is>
          <t>lookup</t>
        </is>
      </c>
      <c r="D45" s="12">
        <f>IFERROR(INDEX(Reference!$K$24:$K$85,MATCH(D35,Reference!$A$24:$A$85,0)),0)</f>
        <v/>
      </c>
      <c r="H45" s="4" t="inlineStr">
        <is>
          <t>-</t>
        </is>
      </c>
    </row>
    <row r="46">
      <c r="A46" s="8" t="inlineStr">
        <is>
          <t>qk_rope_head_dim (RoPE-ключ MLA)</t>
        </is>
      </c>
      <c r="B46" s="4" t="inlineStr">
        <is>
          <t>Только для MLA; 0 для MHA/GQA/MQA. DeepSeek: 64</t>
        </is>
      </c>
      <c r="C46" s="4" t="inlineStr">
        <is>
          <t>lookup</t>
        </is>
      </c>
      <c r="D46" s="12">
        <f>IFERROR(INDEX(Reference!$L$24:$L$85,MATCH(D35,Reference!$A$24:$A$85,0)),0)</f>
        <v/>
      </c>
      <c r="H46" s="4" t="inlineStr">
        <is>
          <t>-</t>
        </is>
      </c>
    </row>
    <row r="47">
      <c r="A47" s="8" t="inlineStr">
        <is>
          <t>Флаг MLA-архитектуры (derived)</t>
        </is>
      </c>
      <c r="B47" s="4" t="inlineStr">
        <is>
          <t>TRUE если kv_lora_rank &gt; 0</t>
        </is>
      </c>
      <c r="C47" s="4" t="inlineStr">
        <is>
          <t>calc</t>
        </is>
      </c>
      <c r="D47" s="3">
        <f>D45&gt;0</f>
        <v/>
      </c>
      <c r="H47" s="4" t="inlineStr">
        <is>
          <t>bool</t>
        </is>
      </c>
    </row>
    <row r="48">
      <c r="A48" s="8" t="inlineStr">
        <is>
          <t>P_dense (плотная часть, B)</t>
        </is>
      </c>
      <c r="B48" s="4" t="inlineStr">
        <is>
          <t>Для MoE: attention + embeddings (не expert-слои). 0 = использовать P_active как константу.</t>
        </is>
      </c>
      <c r="C48" s="4" t="inlineStr">
        <is>
          <t>lookup</t>
        </is>
      </c>
      <c r="D48" s="10">
        <f>IFERROR(INDEX(Reference!$M$24:$M$85,MATCH(D35,Reference!$A$24:$A$85,0)),0)</f>
        <v/>
      </c>
      <c r="H48" s="4" t="inlineStr">
        <is>
          <t>B</t>
        </is>
      </c>
    </row>
    <row r="49">
      <c r="A49" s="8" t="inlineStr">
        <is>
          <t>P_moe (сумма всех экспертов, B)</t>
        </is>
      </c>
      <c r="B49" s="4" t="inlineStr">
        <is>
          <t>Для MoE: P_total − P_dense. 0 для dense-моделей.</t>
        </is>
      </c>
      <c r="C49" s="4" t="inlineStr">
        <is>
          <t>lookup</t>
        </is>
      </c>
      <c r="D49" s="10">
        <f>IFERROR(INDEX(Reference!$N$24:$N$85,MATCH(D35,Reference!$A$24:$A$85,0)),0)</f>
        <v/>
      </c>
      <c r="H49" s="4" t="inlineStr">
        <is>
          <t>B</t>
        </is>
      </c>
    </row>
    <row r="50">
      <c r="A50" s="8" t="inlineStr">
        <is>
          <t>k_moe (top-k активаций на токен)</t>
        </is>
      </c>
      <c r="B50" s="4" t="inlineStr">
        <is>
          <t>Qwen3: 8; Mixtral: 2; DeepSeek V3: 8 routed. 0 = fallback к P_active.</t>
        </is>
      </c>
      <c r="C50" s="4" t="inlineStr">
        <is>
          <t>lookup</t>
        </is>
      </c>
      <c r="D50" s="12">
        <f>IFERROR(INDEX(Reference!$O$24:$O$85,MATCH(D35,Reference!$A$24:$A$85,0)),0)</f>
        <v/>
      </c>
      <c r="H50" s="4" t="inlineStr">
        <is>
          <t>-</t>
        </is>
      </c>
    </row>
    <row r="51">
      <c r="A51" s="8" t="inlineStr">
        <is>
          <t>N_experts (общее число экспертов)</t>
        </is>
      </c>
      <c r="B51" s="4" t="inlineStr">
        <is>
          <t>Qwen3: 128; Mixtral: 8; DeepSeek V3: 256. 0 = fallback к P_active.</t>
        </is>
      </c>
      <c r="C51" s="4" t="inlineStr">
        <is>
          <t>lookup</t>
        </is>
      </c>
      <c r="D51" s="12">
        <f>IFERROR(INDEX(Reference!$P$24:$P$85,MATCH(D35,Reference!$A$24:$A$85,0)),0)</f>
        <v/>
      </c>
      <c r="H51" s="4" t="inlineStr">
        <is>
          <t>-</t>
        </is>
      </c>
    </row>
    <row r="52">
      <c r="A52" s="8" t="inlineStr">
        <is>
          <t>Флаг детализированного MoE (derived)</t>
        </is>
      </c>
      <c r="B52" s="4" t="inlineStr">
        <is>
          <t>TRUE если k_moe &gt; 0 И N_experts &gt; 0 — тогда применяется P_effective(BS_real)</t>
        </is>
      </c>
      <c r="C52" s="4" t="inlineStr">
        <is>
          <t>calc</t>
        </is>
      </c>
      <c r="D52" s="3">
        <f>AND(D50&gt;0,D51&gt;0)</f>
        <v/>
      </c>
      <c r="H52" s="4" t="inlineStr">
        <is>
          <t>bool</t>
        </is>
      </c>
    </row>
    <row r="53">
      <c r="A53" s="8" t="inlineStr">
        <is>
          <t>Квантизация весов</t>
        </is>
      </c>
      <c r="B53" s="4" t="inlineStr">
        <is>
          <t>Выбрать из списка (FP32, FP16, FP8, INT4)</t>
        </is>
      </c>
      <c r="C53" s="4" t="inlineStr">
        <is>
          <t>INPUT</t>
        </is>
      </c>
      <c r="D53" s="2" t="inlineStr">
        <is>
          <t>FP16</t>
        </is>
      </c>
      <c r="H53" s="4" t="inlineStr">
        <is>
          <t>-</t>
        </is>
      </c>
    </row>
    <row r="54">
      <c r="A54" s="8" t="inlineStr">
        <is>
          <t>Байт на параметр (B_quant)</t>
        </is>
      </c>
      <c r="B54" s="4" t="inlineStr">
        <is>
          <t>Авто из справочника квантизаций</t>
        </is>
      </c>
      <c r="C54" s="4" t="inlineStr">
        <is>
          <t>lookup</t>
        </is>
      </c>
      <c r="D54" s="10">
        <f>IFERROR(INDEX(Reference!$B$89:$B$94,MATCH(D53,Reference!$A$89:$A$94,0)),0)</f>
        <v/>
      </c>
      <c r="H54" s="4" t="inlineStr">
        <is>
          <t>bytes</t>
        </is>
      </c>
    </row>
    <row r="55">
      <c r="A55" s="8" t="inlineStr">
        <is>
          <t>Байт на значение состояния (B_state)</t>
        </is>
      </c>
      <c r="B55" s="4" t="inlineStr">
        <is>
          <t>Обычно 2 (FP16) независимо от весов</t>
        </is>
      </c>
      <c r="C55" s="4" t="inlineStr">
        <is>
          <t>INPUT</t>
        </is>
      </c>
      <c r="D55" s="20" t="n">
        <v>2</v>
      </c>
      <c r="H55" s="4" t="inlineStr">
        <is>
          <t>bytes</t>
        </is>
      </c>
    </row>
    <row r="56">
      <c r="A56" s="8" t="inlineStr">
        <is>
          <t>EMP_model (поправка памяти весов)</t>
        </is>
      </c>
      <c r="B56" s="4" t="inlineStr">
        <is>
          <t>1.0–1.15 консервативно</t>
        </is>
      </c>
      <c r="C56" s="4" t="inlineStr">
        <is>
          <t>INPUT</t>
        </is>
      </c>
      <c r="D56" s="22" t="n">
        <v>1</v>
      </c>
      <c r="H56" s="4" t="inlineStr">
        <is>
          <t>-</t>
        </is>
      </c>
    </row>
    <row r="57">
      <c r="A57" s="8" t="inlineStr">
        <is>
          <t>EMP_kv (поправка памяти KV)</t>
        </is>
      </c>
      <c r="B57" s="4" t="inlineStr">
        <is>
          <t>1.0–1.2 для paged attention</t>
        </is>
      </c>
      <c r="C57" s="4" t="inlineStr">
        <is>
          <t>INPUT</t>
        </is>
      </c>
      <c r="D57" s="22" t="n">
        <v>1</v>
      </c>
      <c r="H57" s="4" t="inlineStr">
        <is>
          <t>-</t>
        </is>
      </c>
    </row>
    <row r="58">
      <c r="A58" s="8" t="inlineStr">
        <is>
          <t>Safe margin SM (§3.1)</t>
        </is>
      </c>
      <c r="B58" s="4" t="inlineStr">
        <is>
          <t>Служебные буферы inference-engine. vLLM V1: 2-4; vLLM V0: 3-5; SGLang: 1-3; TensorRT-LLM/NIM: 3-5; Triton inflight: 2-4; Ollama/llama.cpp: 4-6. Консервативный дефолт: 5.</t>
        </is>
      </c>
      <c r="C58" s="4" t="inlineStr">
        <is>
          <t>INPUT</t>
        </is>
      </c>
      <c r="D58" s="20" t="n">
        <v>5</v>
      </c>
      <c r="H58" s="4" t="inlineStr">
        <is>
          <t>GiB</t>
        </is>
      </c>
    </row>
    <row r="60">
      <c r="A60" s="5" t="inlineStr">
        <is>
          <t>5. Калибровочные коэффициенты</t>
        </is>
      </c>
      <c r="B60" s="6" t="n"/>
      <c r="C60" s="6" t="n"/>
      <c r="D60" s="6" t="n"/>
      <c r="E60" s="6" t="n"/>
      <c r="F60" s="6" t="n"/>
      <c r="G60" s="6" t="n"/>
      <c r="H60" s="7" t="n"/>
    </row>
    <row r="61">
      <c r="A61" s="8" t="inlineStr">
        <is>
          <t>η_pf (компьют prefill) §Е.5</t>
        </is>
      </c>
      <c r="B61" s="4" t="inlineStr">
        <is>
          <t>Dense 0.15–0.30; MoE+vLLM 0.08–0.12 (static); MoE+vLLM FP8 continuous: 0.04–0.10 (BS=1) → 0.01–0.05 (BS=18). BS-зависим в continuous режиме (§Е.6). Дефолт 0.167 — калиброван на vLLM FP8 фикстуре (TTFT 180 точек).</t>
        </is>
      </c>
      <c r="C61" s="4" t="inlineStr">
        <is>
          <t>INPUT</t>
        </is>
      </c>
      <c r="D61" s="22" t="n">
        <v>0.167</v>
      </c>
      <c r="H61" s="4" t="inlineStr">
        <is>
          <t>-</t>
        </is>
      </c>
    </row>
    <row r="62">
      <c r="A62" s="8" t="inlineStr">
        <is>
          <t>η_dec (компьют decode) §Е.5</t>
        </is>
      </c>
      <c r="B62" s="4" t="inlineStr">
        <is>
          <t>Dense 0.10–0.25; MoE 0.02–0.05. Для memory-bound decode (типично для MoE) η_dec не лимитирует — Th_dec=min(compute,mem) выбирает mem-ограничение. Дефолт 0.20 — согласован с forecast-скриптом и методологией §Е.5.</t>
        </is>
      </c>
      <c r="C62" s="4" t="inlineStr">
        <is>
          <t>INPUT</t>
        </is>
      </c>
      <c r="D62" s="22" t="n">
        <v>0.2</v>
      </c>
      <c r="H62" s="4" t="inlineStr">
        <is>
          <t>-</t>
        </is>
      </c>
    </row>
    <row r="63">
      <c r="A63" s="8" t="inlineStr">
        <is>
          <t>η_mem (memory-bandwidth decode) §Е.5</t>
        </is>
      </c>
      <c r="B63" s="4" t="inlineStr">
        <is>
          <t>Dense 0.40–0.60; MoE 0.25–0.40; MoE+TP&gt;1 0.20–0.35; MoE+vLLM FP8 на H100/H200 при BS≥8: 0.40–0.45. Калибровать при целевом BS_real (§Е.6). Дефолт 0.36 — калиброван на vLLM FP8 фикстуре (TPOT 180 точек).</t>
        </is>
      </c>
      <c r="C63" s="4" t="inlineStr">
        <is>
          <t>INPUT</t>
        </is>
      </c>
      <c r="D63" s="22" t="n">
        <v>0.36</v>
      </c>
      <c r="H63" s="4" t="inlineStr">
        <is>
          <t>-</t>
        </is>
      </c>
    </row>
    <row r="64">
      <c r="A64" s="8" t="inlineStr">
        <is>
          <t>C (коэф. насыщения от батча) §А</t>
        </is>
      </c>
      <c r="B64" s="4" t="inlineStr">
        <is>
          <t>C=t_fix/t_lin. Dense ≤40GB: 4-6; Dense 80GB: 6-10; MoE/MLA: 8-16; TP≥4 + большой GPU: 10-16. Дефолт 6 — согласован с forecast-скриптом для Qwen3-32B на H200.</t>
        </is>
      </c>
      <c r="C64" s="4" t="inlineStr">
        <is>
          <t>INPUT</t>
        </is>
      </c>
      <c r="D64" s="20" t="n">
        <v>6</v>
      </c>
      <c r="H64" s="4" t="inlineStr">
        <is>
          <t>-</t>
        </is>
      </c>
    </row>
    <row r="65">
      <c r="A65" s="8" t="inlineStr">
        <is>
          <t>Th_pf эмпирический (опционально)</t>
        </is>
      </c>
      <c r="B65" s="4" t="inlineStr">
        <is>
          <t>0 = использовать аналитическую формулу</t>
        </is>
      </c>
      <c r="C65" s="4" t="inlineStr">
        <is>
          <t>INPUT</t>
        </is>
      </c>
      <c r="D65" s="20" t="n">
        <v>0</v>
      </c>
      <c r="H65" s="4" t="inlineStr">
        <is>
          <t>tok/s</t>
        </is>
      </c>
    </row>
    <row r="66">
      <c r="A66" s="8" t="inlineStr">
        <is>
          <t>Th_dec эмпирический (опционально)</t>
        </is>
      </c>
      <c r="B66" s="4" t="inlineStr">
        <is>
          <t>0 = использовать аналитическую формулу</t>
        </is>
      </c>
      <c r="C66" s="4" t="inlineStr">
        <is>
          <t>INPUT</t>
        </is>
      </c>
      <c r="D66" s="20" t="n">
        <v>0</v>
      </c>
      <c r="H66" s="4" t="inlineStr">
        <is>
          <t>tok/s</t>
        </is>
      </c>
    </row>
    <row r="67">
      <c r="A67" s="8" t="inlineStr">
        <is>
          <t>η_cache (префикс-кэширование, опц.)</t>
        </is>
      </c>
      <c r="B67" s="4" t="inlineStr">
        <is>
          <t>Доля prefill, обслуженная из кэша префиксов (§3.1 H-5). 0 = выкл. Чат с системным промптом: 0.3–0.5. RAG: 0.1–0.3. Агент: 0.5–0.8. Default 0.3 предполагает автоматическое prefix caching в vLLM/SGLang.</t>
        </is>
      </c>
      <c r="C67" s="4" t="inlineStr">
        <is>
          <t>INPUT</t>
        </is>
      </c>
      <c r="D67" s="21" t="n">
        <v>0.3</v>
      </c>
      <c r="H67" s="4" t="inlineStr">
        <is>
          <t>ratio</t>
        </is>
      </c>
    </row>
    <row r="68">
      <c r="A68" s="8" t="inlineStr">
        <is>
          <t>K_spec (speculative decoding, опц.)</t>
        </is>
      </c>
      <c r="B68" s="4" t="inlineStr">
        <is>
          <t>Среднее число принятых токенов/шаг (§3.1 H-5). 1.0 = выкл. EAGLE-3: 1.8–2.5; MTP для DeepSeek-V3: ~1.5–1.8.</t>
        </is>
      </c>
      <c r="C68" s="4" t="inlineStr">
        <is>
          <t>INPUT</t>
        </is>
      </c>
      <c r="D68" s="22" t="n">
        <v>1</v>
      </c>
      <c r="H68" s="4" t="inlineStr">
        <is>
          <t>-</t>
        </is>
      </c>
    </row>
    <row r="69">
      <c r="A69" s="8" t="inlineStr">
        <is>
          <t>Режим engine (§6.1)</t>
        </is>
      </c>
      <c r="B69" s="4" t="inlineStr">
        <is>
          <t>continuous: vLLM, SGLang, TGI (prefill делит bandwidth с decode). static: offline-скрипты, NVIDIA Triton без inflight batching.</t>
        </is>
      </c>
      <c r="C69" s="4" t="inlineStr">
        <is>
          <t>INPUT</t>
        </is>
      </c>
      <c r="D69" s="2" t="inlineStr">
        <is>
          <t>continuous</t>
        </is>
      </c>
    </row>
    <row r="70">
      <c r="A70" s="8" t="inlineStr">
        <is>
          <t>C_pf (chunked-prefill step budget)</t>
        </is>
      </c>
      <c r="B70" s="4" t="inlineStr">
        <is>
          <t>Только для engine_mode=continuous. Параметр engine (vLLM: max_num_batched_tokens минус decode-доля). Типично 32-512 токенов. Игнорируется при engine_mode=static.</t>
        </is>
      </c>
      <c r="C70" s="4" t="inlineStr">
        <is>
          <t>INPUT</t>
        </is>
      </c>
      <c r="D70" s="20" t="n">
        <v>256</v>
      </c>
      <c r="H70" s="4" t="inlineStr">
        <is>
          <t>tokens</t>
        </is>
      </c>
    </row>
    <row r="71">
      <c r="A71" s="8" t="inlineStr">
        <is>
          <t>T_overhead (TTFT overhead, §7.1)</t>
        </is>
      </c>
      <c r="B71" s="4" t="inlineStr">
        <is>
          <t>Постоянный per-request overhead TTFT: tokenization + LiteLLM/Envoy proxy + HTTP/gRPC + admission + pre/post guardrails БЕЗ LLM-вызова (PII regex, brand-voice regex). LLM-guardrails (moderation/factuality) — через K_calls в Agentic. Типично: vLLM+LiteLLM 0.015-0.040; in-process 0.005-0.015; offline 0. Дефолт 0.026 — калиброван на vLLM фикстуре (C=1 cold TTFT сегмент).</t>
        </is>
      </c>
      <c r="C71" s="4" t="inlineStr">
        <is>
          <t>INPUT</t>
        </is>
      </c>
      <c r="D71" s="23" t="n">
        <v>0.026</v>
      </c>
      <c r="H71" s="4" t="inlineStr">
        <is>
          <t>s</t>
        </is>
      </c>
    </row>
    <row r="72">
      <c r="A72" s="8" t="inlineStr">
        <is>
          <t>O_fixed (per-forward overhead, §6.2)</t>
        </is>
      </c>
      <c r="B72" s="4" t="inlineStr">
        <is>
          <t>Фиксированный overhead memory traffic за forward pass, GB. Учитывает MoE dispatcher, FP8 dequant scratch, kernel launch. Dense BF16 модели: 0 (нет overhead). MoE + FP8 на H100/H200 vLLM: 8-10 GB (калибровано vs Qwen3-30B-A3B @ EvalScope, см. docs/reports/vllm_fixture_verification.md). Применяется в знаменателе Th_dec_mem и Th_pf_cb_mem.</t>
        </is>
      </c>
      <c r="C72" s="4" t="inlineStr">
        <is>
          <t>INPUT</t>
        </is>
      </c>
      <c r="D72" s="22" t="n">
        <v>0</v>
      </c>
      <c r="H72" s="4" t="inlineStr">
        <is>
          <t>GB</t>
        </is>
      </c>
    </row>
    <row r="74">
      <c r="A74" s="5" t="inlineStr">
        <is>
          <t>6-7. Целевые значения SLA</t>
        </is>
      </c>
      <c r="B74" s="6" t="n"/>
      <c r="C74" s="6" t="n"/>
      <c r="D74" s="6" t="n"/>
      <c r="E74" s="6" t="n"/>
      <c r="F74" s="6" t="n"/>
      <c r="G74" s="6" t="n"/>
      <c r="H74" s="7" t="n"/>
    </row>
    <row r="75">
      <c r="A75" s="8" t="inlineStr">
        <is>
          <t>Запросов/с на одну сессию (R)</t>
        </is>
      </c>
      <c r="B75" s="4" t="inlineStr">
        <is>
          <t>Чат 0.017–0.033 (1 запрос / 30-60 сек)</t>
        </is>
      </c>
      <c r="C75" s="4" t="inlineStr">
        <is>
          <t>INPUT</t>
        </is>
      </c>
      <c r="D75" s="23" t="n">
        <v>0.02</v>
      </c>
      <c r="H75" s="4" t="inlineStr">
        <is>
          <t>req/s</t>
        </is>
      </c>
    </row>
    <row r="76">
      <c r="A76" s="8" t="inlineStr">
        <is>
          <t>Коэффициент запаса SLA (K_SLA)</t>
        </is>
      </c>
      <c r="B76" s="4" t="inlineStr">
        <is>
          <t>1.25–2.0 — запас под пик/дисперсию</t>
        </is>
      </c>
      <c r="C76" s="4" t="inlineStr">
        <is>
          <t>INPUT</t>
        </is>
      </c>
      <c r="D76" s="22" t="n">
        <v>1.25</v>
      </c>
      <c r="H76" s="4" t="inlineStr">
        <is>
          <t>-</t>
        </is>
      </c>
    </row>
    <row r="77">
      <c r="A77" s="8" t="inlineStr">
        <is>
          <t>Целевое TTFT_SLA</t>
        </is>
      </c>
      <c r="B77" s="4" t="inlineStr">
        <is>
          <t>Time-to-first-token, секунды</t>
        </is>
      </c>
      <c r="C77" s="4" t="inlineStr">
        <is>
          <t>INPUT</t>
        </is>
      </c>
      <c r="D77" s="22" t="n">
        <v>1</v>
      </c>
      <c r="H77" s="4" t="inlineStr">
        <is>
          <t>s</t>
        </is>
      </c>
    </row>
    <row r="78">
      <c r="A78" s="8" t="inlineStr">
        <is>
          <t>Целевое e2eLatency_SLA</t>
        </is>
      </c>
      <c r="B78" s="4" t="inlineStr">
        <is>
          <t>End-to-end задержка, секунды</t>
        </is>
      </c>
      <c r="C78" s="4" t="inlineStr">
        <is>
          <t>INPUT</t>
        </is>
      </c>
      <c r="D78" s="22" t="n">
        <v>5</v>
      </c>
      <c r="H78" s="4" t="inlineStr">
        <is>
          <t>s</t>
        </is>
      </c>
    </row>
  </sheetData>
  <mergeCells count="7">
    <mergeCell ref="A4:H4"/>
    <mergeCell ref="A24:H24"/>
    <mergeCell ref="A60:H60"/>
    <mergeCell ref="A14:H14"/>
    <mergeCell ref="A1:H1"/>
    <mergeCell ref="A74:H74"/>
    <mergeCell ref="A34:H34"/>
  </mergeCells>
  <dataValidations count="4">
    <dataValidation sqref="D25" showDropDown="0" showInputMessage="0" showErrorMessage="0" allowBlank="1" error="Выберите GPU из справочника" type="list">
      <formula1>=Reference!$A$3:$A$20</formula1>
    </dataValidation>
    <dataValidation sqref="D35" showDropDown="0" showInputMessage="0" showErrorMessage="0" allowBlank="1" error="Выберите LLM из справочника" type="list">
      <formula1>=Reference!$A$24:$A$85</formula1>
    </dataValidation>
    <dataValidation sqref="D53" showDropDown="0" showInputMessage="0" showErrorMessage="0" allowBlank="1" error="Выберите формат квантизации" type="list">
      <formula1>=Reference!$A$89:$A$94</formula1>
    </dataValidation>
    <dataValidation sqref="D69" showDropDown="0" showInputMessage="0" showErrorMessage="0" allowBlank="1" error="Выберите режим engine" type="list">
      <formula1>"continuous,static"</formula1>
    </dataValidation>
  </dataValidations>
  <printOptions horizontalCentered="1"/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10"/>
  <sheetViews>
    <sheetView workbookViewId="0">
      <selection activeCell="A1" sqref="A1"/>
    </sheetView>
  </sheetViews>
  <sheetFormatPr baseColWidth="8" defaultRowHeight="15"/>
  <cols>
    <col width="48" customWidth="1" min="1" max="1"/>
    <col width="62" customWidth="1" min="2" max="2"/>
    <col width="11" customWidth="1" min="3" max="3"/>
    <col width="70" customWidth="1" min="4" max="4"/>
    <col width="12" customWidth="1" min="5" max="5"/>
    <col width="20" customWidth="1" min="6" max="6"/>
  </cols>
  <sheetData>
    <row r="1">
      <c r="A1" s="1" t="inlineStr">
        <is>
          <t>Расчёт GPU-инфраструктуры — пошаговое вычисление</t>
        </is>
      </c>
    </row>
    <row r="2">
      <c r="A2" s="2" t="inlineStr">
        <is>
          <t>Ввод (INPUT)</t>
        </is>
      </c>
      <c r="B2" s="3" t="inlineStr">
        <is>
          <t>Расчёт / Итог (bold)</t>
        </is>
      </c>
      <c r="C2" s="4" t="inlineStr">
        <is>
          <t>Проверка ✓/✗ — окрашивается по результату</t>
        </is>
      </c>
    </row>
    <row r="4">
      <c r="A4" s="5" t="inlineStr">
        <is>
          <t>3. Память GPU для модели и KV-кэша</t>
        </is>
      </c>
      <c r="B4" s="6" t="n"/>
      <c r="C4" s="6" t="n"/>
      <c r="D4" s="6" t="n"/>
      <c r="E4" s="6" t="n"/>
      <c r="F4" s="7" t="n"/>
    </row>
    <row r="5">
      <c r="A5" s="8" t="inlineStr">
        <is>
          <t>Память весов модели (M_model)</t>
        </is>
      </c>
      <c r="B5" s="4" t="inlineStr">
        <is>
          <t>(P_total · 10⁹ · B_quant / 1024³) · EMP_model + SM</t>
        </is>
      </c>
      <c r="C5" s="4" t="inlineStr">
        <is>
          <t>calc</t>
        </is>
      </c>
      <c r="D5" s="10">
        <f>(Inputs!D36*10^9*Inputs!D54)/1024^3*Inputs!D56+Inputs!D58</f>
        <v/>
      </c>
      <c r="E5" s="4" t="inlineStr">
        <is>
          <t>GiB</t>
        </is>
      </c>
      <c r="F5" s="4" t="inlineStr">
        <is>
          <t>🟡 nvidia-smi</t>
        </is>
      </c>
    </row>
    <row r="6">
      <c r="A6" s="8" t="inlineStr">
        <is>
          <t>SL фактическая для KV (min(SL_raw, TS_max))</t>
        </is>
      </c>
      <c r="B6" s="4" t="inlineStr">
        <is>
          <t>Ограничена TS_max модели</t>
        </is>
      </c>
      <c r="C6" s="4" t="inlineStr">
        <is>
          <t>calc</t>
        </is>
      </c>
      <c r="D6" s="12">
        <f>MIN(Inputs!D20,Inputs!D44)</f>
        <v/>
      </c>
      <c r="E6" s="4" t="inlineStr">
        <is>
          <t>tokens</t>
        </is>
      </c>
      <c r="F6" s="4" t="inlineStr">
        <is>
          <t>🔵 methodology</t>
        </is>
      </c>
    </row>
    <row r="7">
      <c r="A7" s="8" t="inlineStr">
        <is>
          <t>Память KV-кэша на 1 сессию (M_KV^S=1)</t>
        </is>
      </c>
      <c r="B7" s="4" t="inlineStr">
        <is>
          <t>MLA: L·(kv_lora_rank+qk_rope)·SL·B_state·EMP_kv/1024³; иначе: 2·L·N_kv·head_dim·SL·B_state·EMP_kv/1024³</t>
        </is>
      </c>
      <c r="C7" s="4" t="inlineStr">
        <is>
          <t>calc</t>
        </is>
      </c>
      <c r="D7" s="10">
        <f>IF(Inputs!D47,Inputs!D38*(Inputs!D45+Inputs!D46)*D6*Inputs!D55*Inputs!D57/1024^3,2*Inputs!D38*Inputs!D41*Inputs!D42*D6*Inputs!D55*Inputs!D57/1024^3)</f>
        <v/>
      </c>
      <c r="E7" s="4" t="inlineStr">
        <is>
          <t>GiB</t>
        </is>
      </c>
      <c r="F7" s="4" t="inlineStr">
        <is>
          <t>🟡 nvidia-smi</t>
        </is>
      </c>
    </row>
    <row r="9">
      <c r="A9" s="5" t="inlineStr">
        <is>
          <t>4. Tensor Parallelism — оптимизация памяти</t>
        </is>
      </c>
      <c r="B9" s="6" t="n"/>
      <c r="C9" s="6" t="n"/>
      <c r="D9" s="6" t="n"/>
      <c r="E9" s="6" t="n"/>
      <c r="F9" s="7" t="n"/>
    </row>
    <row r="10">
      <c r="A10" s="8" t="inlineStr">
        <is>
          <t>Мин. число GPU на экземпляр (TP_min)</t>
        </is>
      </c>
      <c r="B10" s="4" t="inlineStr">
        <is>
          <t>CEILING(M_model / (GPU_memory · K_avail))</t>
        </is>
      </c>
      <c r="C10" s="4" t="inlineStr">
        <is>
          <t>calc</t>
        </is>
      </c>
      <c r="D10" s="12">
        <f>CEILING(D5/(Inputs!D26*Inputs!D30),1)</f>
        <v/>
      </c>
      <c r="E10" s="4" t="inlineStr">
        <is>
          <t>pcs</t>
        </is>
      </c>
      <c r="F10" s="4" t="inlineStr">
        <is>
          <t>🔵 methodology</t>
        </is>
      </c>
    </row>
    <row r="11">
      <c r="A11" s="8" t="inlineStr">
        <is>
          <t>GPU на экземпляр при TP=Z</t>
        </is>
      </c>
      <c r="B11" s="4" t="inlineStr">
        <is>
          <t>Z · GPU_count_min</t>
        </is>
      </c>
      <c r="C11" s="4" t="inlineStr">
        <is>
          <t>calc</t>
        </is>
      </c>
      <c r="D11" s="12">
        <f>Inputs!D31*D10</f>
        <v/>
      </c>
      <c r="E11" s="4" t="inlineStr">
        <is>
          <t>pcs</t>
        </is>
      </c>
      <c r="F11" s="4" t="inlineStr">
        <is>
          <t>🔵 methodology</t>
        </is>
      </c>
    </row>
    <row r="12">
      <c r="A12" s="8" t="inlineStr">
        <is>
          <t>Число экземпляров на сервер (N_TP=Z)</t>
        </is>
      </c>
      <c r="B12" s="4" t="inlineStr">
        <is>
          <t>FLOOR(GPU_count_server / GPU_per_inst)</t>
        </is>
      </c>
      <c r="C12" s="4" t="inlineStr">
        <is>
          <t>calc</t>
        </is>
      </c>
      <c r="D12" s="12">
        <f>FLOOR(Inputs!D29/D11,1)</f>
        <v/>
      </c>
      <c r="E12" s="4" t="inlineStr">
        <is>
          <t>pcs</t>
        </is>
      </c>
      <c r="F12" s="4" t="inlineStr">
        <is>
          <t>🟡 vLLM logs</t>
        </is>
      </c>
    </row>
    <row r="13" ht="42" customHeight="1">
      <c r="A13" s="8" t="inlineStr">
        <is>
          <t>Модель помещается на сервер</t>
        </is>
      </c>
      <c r="B13" s="4" t="inlineStr">
        <is>
          <t>GPU_per_inst ≤ GPU_count_server</t>
        </is>
      </c>
      <c r="C13" s="4" t="inlineStr">
        <is>
          <t>calc</t>
        </is>
      </c>
      <c r="D13" s="9">
        <f>IF(D11&lt;=Inputs!D29,"✓ OK","✗ FAIL: уменьшите Z или смените GPU — сейчас нужно "&amp;D11&amp;" GPU/экз.,  доступно "&amp;Inputs!D29&amp;" на сервере")</f>
        <v/>
      </c>
      <c r="E13" s="4" t="inlineStr">
        <is>
          <t>status</t>
        </is>
      </c>
      <c r="F13" s="4" t="inlineStr">
        <is>
          <t>🟢 deployment</t>
        </is>
      </c>
    </row>
    <row r="14">
      <c r="A14" s="8" t="inlineStr">
        <is>
          <t>Свободная память под KV на экземпляр</t>
        </is>
      </c>
      <c r="B14" s="4" t="inlineStr">
        <is>
          <t>GPU_per_inst · GPU_memory · K_avail − M_model</t>
        </is>
      </c>
      <c r="C14" s="4" t="inlineStr">
        <is>
          <t>calc</t>
        </is>
      </c>
      <c r="D14" s="10">
        <f>D11*Inputs!D26*Inputs!D30-D5</f>
        <v/>
      </c>
      <c r="E14" s="4" t="inlineStr">
        <is>
          <t>GiB</t>
        </is>
      </c>
      <c r="F14" s="4" t="inlineStr">
        <is>
          <t>🟡 nvidia-smi</t>
        </is>
      </c>
    </row>
    <row r="15">
      <c r="A15" s="8" t="inlineStr">
        <is>
          <t>Макс. сессий на экземпляр (S_TP=Z)</t>
        </is>
      </c>
      <c r="B15" s="4" t="inlineStr">
        <is>
          <t>MLA: ⌊GPU_memForKV/(GPU_per_inst·M_KV)⌋ (латент реплицируется); иначе: ⌊GPU_memForKV·min(GPU_per_inst,N_kv)/(M_KV·GPU_per_inst)⌋</t>
        </is>
      </c>
      <c r="C15" s="4" t="inlineStr">
        <is>
          <t>calc</t>
        </is>
      </c>
      <c r="D15" s="12">
        <f>IF(D7&gt;0,IF(Inputs!D47,FLOOR(D14/(D11*D7),1),FLOOR(D14*MIN(D11,Inputs!D41)/(D7*D11),1)),0)</f>
        <v/>
      </c>
      <c r="E15" s="4" t="inlineStr">
        <is>
          <t>sess.</t>
        </is>
      </c>
      <c r="F15" s="4" t="inlineStr">
        <is>
          <t>🟡 vLLM logs</t>
        </is>
      </c>
    </row>
    <row r="16">
      <c r="A16" s="8" t="inlineStr">
        <is>
          <t>Свободная память под KV при TP_min</t>
        </is>
      </c>
      <c r="B16" s="4" t="inlineStr">
        <is>
          <t>GPU_count_min · GPU_memory · K_avail − M_model</t>
        </is>
      </c>
      <c r="C16" s="4" t="inlineStr">
        <is>
          <t>calc</t>
        </is>
      </c>
      <c r="D16" s="10">
        <f>D10*Inputs!D26*Inputs!D30-D5</f>
        <v/>
      </c>
      <c r="E16" s="4" t="inlineStr">
        <is>
          <t>GiB</t>
        </is>
      </c>
      <c r="F16" s="4" t="inlineStr">
        <is>
          <t>🟡 nvidia-smi</t>
        </is>
      </c>
    </row>
    <row r="17">
      <c r="A17" s="8" t="inlineStr">
        <is>
          <t>Макс. сессий при TP=TP_min (S_TP=TP_min)</t>
        </is>
      </c>
      <c r="B17" s="4" t="inlineStr">
        <is>
          <t>База для K_batch (Z=1, TP=TP_min); стандарт: ⌊GPU_mem_kv_min·min(TP_min,N_kv)/(M_KV·TP_min)⌋; MLA: латент реплицируется на всех TP_min ранках</t>
        </is>
      </c>
      <c r="C17" s="4" t="inlineStr">
        <is>
          <t>calc</t>
        </is>
      </c>
      <c r="D17" s="12">
        <f>IF(D7&gt;0,IF(Inputs!D47,FLOOR(D16/(D10*D7),1),FLOOR(D16*MIN(D10,Inputs!D41)/(D7*D10),1)),0)</f>
        <v/>
      </c>
      <c r="E17" s="4" t="inlineStr">
        <is>
          <t>sess.</t>
        </is>
      </c>
      <c r="F17" s="4" t="inlineStr">
        <is>
          <t>🟡 vLLM logs</t>
        </is>
      </c>
    </row>
    <row r="18">
      <c r="A18" s="8" t="inlineStr">
        <is>
          <t>Коэф. прироста throughput от TP (K_batch)</t>
        </is>
      </c>
      <c r="B18" s="4" t="inlineStr">
        <is>
          <t>(S_TP=Z/S_TP=TP_min) · (S_TP=TP_min + C)/(S_TP=Z + C)</t>
        </is>
      </c>
      <c r="C18" s="4" t="inlineStr">
        <is>
          <t>calc</t>
        </is>
      </c>
      <c r="D18" s="10">
        <f>IF(AND(D17&gt;0,D15&gt;0),(D15/D17)*((D17+Inputs!D64)/(D15+Inputs!D64)),1)</f>
        <v/>
      </c>
      <c r="E18" s="4" t="inlineStr">
        <is>
          <t>-</t>
        </is>
      </c>
      <c r="F18" s="4" t="inlineStr">
        <is>
          <t>🔵 derived</t>
        </is>
      </c>
    </row>
    <row r="20">
      <c r="A20" s="5" t="inlineStr">
        <is>
          <t>5. Серверы по памяти</t>
        </is>
      </c>
      <c r="B20" s="6" t="n"/>
      <c r="C20" s="6" t="n"/>
      <c r="D20" s="6" t="n"/>
      <c r="E20" s="6" t="n"/>
      <c r="F20" s="7" t="n"/>
    </row>
    <row r="21">
      <c r="A21" s="8" t="inlineStr">
        <is>
          <t>Сессий на сервер (S_server)</t>
        </is>
      </c>
      <c r="B21" s="4" t="inlineStr">
        <is>
          <t>N_TP=Z · S_TP=Z</t>
        </is>
      </c>
      <c r="C21" s="4" t="inlineStr">
        <is>
          <t>calc</t>
        </is>
      </c>
      <c r="D21" s="12">
        <f>D12*D15</f>
        <v/>
      </c>
      <c r="E21" s="4" t="inlineStr">
        <is>
          <t>sess.</t>
        </is>
      </c>
      <c r="F21" s="4" t="inlineStr">
        <is>
          <t>🟡 vLLM logs</t>
        </is>
      </c>
    </row>
    <row r="22">
      <c r="A22" s="8" t="inlineStr">
        <is>
          <t>Число серверов по памяти (Servers_count^mem)</t>
        </is>
      </c>
      <c r="B22" s="4" t="inlineStr">
        <is>
          <t>⌈S_sim / S_server⌉</t>
        </is>
      </c>
      <c r="C22" s="4" t="inlineStr">
        <is>
          <t>calc</t>
        </is>
      </c>
      <c r="D22" s="17">
        <f>IF(D21&gt;0,CEILING(Inputs!D12/D21,1),0)</f>
        <v/>
      </c>
      <c r="E22" s="4" t="inlineStr">
        <is>
          <t>pcs</t>
        </is>
      </c>
      <c r="F22" s="4" t="inlineStr">
        <is>
          <t>🟢 deployment</t>
        </is>
      </c>
    </row>
    <row r="24">
      <c r="A24" s="5" t="inlineStr">
        <is>
          <t>6. Пропускная способность и compute-сайзинг</t>
        </is>
      </c>
      <c r="B24" s="6" t="n"/>
      <c r="C24" s="6" t="n"/>
      <c r="D24" s="6" t="n"/>
      <c r="E24" s="6" t="n"/>
      <c r="F24" s="7" t="n"/>
    </row>
    <row r="25">
      <c r="A25" s="8" t="inlineStr">
        <is>
          <t>FLOP на токен (FPS)</t>
        </is>
      </c>
      <c r="B25" s="4" t="inlineStr">
        <is>
          <t>2 · P_active · 10⁹</t>
        </is>
      </c>
      <c r="C25" s="4" t="inlineStr">
        <is>
          <t>calc</t>
        </is>
      </c>
      <c r="D25" s="12">
        <f>2*Inputs!D37*10^9</f>
        <v/>
      </c>
      <c r="E25" s="4" t="inlineStr">
        <is>
          <t>FLOP/tok</t>
        </is>
      </c>
      <c r="F25" s="4" t="inlineStr">
        <is>
          <t>🔵 derived</t>
        </is>
      </c>
    </row>
    <row r="26">
      <c r="A26" s="8" t="inlineStr">
        <is>
          <t>Пиковая производительность экземпляра (F_count)</t>
        </is>
      </c>
      <c r="B26" s="4" t="inlineStr">
        <is>
          <t>GPU_per_inst · FLOPS_gpu · 10¹² (в FLOPs/sec)</t>
        </is>
      </c>
      <c r="C26" s="4" t="inlineStr">
        <is>
          <t>calc</t>
        </is>
      </c>
      <c r="D26" s="24">
        <f>D11*Inputs!D27*10^12</f>
        <v/>
      </c>
      <c r="E26" s="4" t="inlineStr">
        <is>
          <t>FLOP/s</t>
        </is>
      </c>
      <c r="F26" s="4" t="inlineStr">
        <is>
          <t>🔵 spec lookup</t>
        </is>
      </c>
    </row>
    <row r="27">
      <c r="A27" s="8" t="inlineStr">
        <is>
          <t>SL_pf эффективная (после префикс-кэша)</t>
        </is>
      </c>
      <c r="B27" s="4" t="inlineStr">
        <is>
          <t>SL_pf · (1 − η_cache); при η_cache=0 совпадает с SL_pf</t>
        </is>
      </c>
      <c r="C27" s="4" t="inlineStr">
        <is>
          <t>calc</t>
        </is>
      </c>
      <c r="D27" s="12">
        <f>Inputs!D21*(1-Inputs!D67)</f>
        <v/>
      </c>
      <c r="E27" s="4" t="inlineStr">
        <is>
          <t>tokens</t>
        </is>
      </c>
      <c r="F27" s="4" t="inlineStr">
        <is>
          <t>🔵 methodology</t>
        </is>
      </c>
    </row>
    <row r="28">
      <c r="A28" s="8" t="inlineStr">
        <is>
          <t>BS_real (начальный через Servers_mem)</t>
        </is>
      </c>
      <c r="B28" s="4" t="inlineStr">
        <is>
          <t>min(S_TP=Z, ⌈S_sim / (N_TP=Z · Servers_mem)⌉); при нулевой нагрузке = 1</t>
        </is>
      </c>
      <c r="C28" s="4" t="inlineStr">
        <is>
          <t>calc</t>
        </is>
      </c>
      <c r="D28" s="12">
        <f>IF(AND(D12&gt;0,D22&gt;0),MIN(D15,CEILING(Inputs!D12/(D12*D22),1)),1)</f>
        <v/>
      </c>
      <c r="E28" s="4" t="inlineStr">
        <is>
          <t>sess.</t>
        </is>
      </c>
      <c r="F28" s="4" t="inlineStr">
        <is>
          <t>🟡 vLLM logs</t>
        </is>
      </c>
    </row>
    <row r="29">
      <c r="A29" s="8" t="inlineStr">
        <is>
          <t>Th_pf аналитическая (static batching)</t>
        </is>
      </c>
      <c r="B29" s="4" t="inlineStr">
        <is>
          <t>F_count · η_pf · K_batch / (FPS + 4·L·H·SL_pf^eff). Используется при engine_mode=static.</t>
        </is>
      </c>
      <c r="C29" s="4" t="inlineStr">
        <is>
          <t>calc</t>
        </is>
      </c>
      <c r="D29" s="12">
        <f>D26*Inputs!D61*D18/(D25+4*Inputs!D38*Inputs!D39*D27)</f>
        <v/>
      </c>
      <c r="E29" s="4" t="inlineStr">
        <is>
          <t>tok/s</t>
        </is>
      </c>
      <c r="F29" s="4" t="inlineStr">
        <is>
          <t>🟢 EvalScope</t>
        </is>
      </c>
    </row>
    <row r="30">
      <c r="A30" s="8" t="inlineStr">
        <is>
          <t>Th_pf^cb,compute (continuous, compute-bound)</t>
        </is>
      </c>
      <c r="B30" s="4" t="inlineStr">
        <is>
          <t>F_count · η_pf / (FPS + 4·L·H·SL_pf^eff); K_batch=1 при continuous batching.</t>
        </is>
      </c>
      <c r="C30" s="4" t="inlineStr">
        <is>
          <t>calc</t>
        </is>
      </c>
      <c r="D30" s="12">
        <f>D26*Inputs!D61/(D25+4*Inputs!D38*Inputs!D39*D27)</f>
        <v/>
      </c>
      <c r="E30" s="4" t="inlineStr">
        <is>
          <t>tok/s</t>
        </is>
      </c>
      <c r="F30" s="4" t="inlineStr">
        <is>
          <t>🟢 EvalScope</t>
        </is>
      </c>
    </row>
    <row r="31">
      <c r="A31" s="8" t="inlineStr">
        <is>
          <t>Th_pf^cb,mem (continuous, memory-bound)</t>
        </is>
      </c>
      <c r="B31" s="4" t="inlineStr">
        <is>
          <t>C_pf·BW·10⁹·η_mem / (P_eff(BS_real+1)·10⁹·B_quant + BS_real·M_KV·1024³ + O_fixed·1024³)</t>
        </is>
      </c>
      <c r="C31" s="4" t="inlineStr">
        <is>
          <t>calc</t>
        </is>
      </c>
      <c r="D31" s="12">
        <f>IF(D7&gt;0,Inputs!D70*Inputs!D28*10^9*Inputs!D63/(IF(Inputs!D52,(Inputs!D48+Inputs!D49*(1-POWER(1-Inputs!D50/Inputs!D51,(D28+1)))),Inputs!D37)*10^9*Inputs!D54+D28*D7*1024^3+Inputs!D72*1024^3),0)</f>
        <v/>
      </c>
      <c r="E31" s="4" t="inlineStr">
        <is>
          <t>tok/s</t>
        </is>
      </c>
      <c r="F31" s="4" t="inlineStr">
        <is>
          <t>🟢 EvalScope</t>
        </is>
      </c>
    </row>
    <row r="32">
      <c r="A32" s="8" t="inlineStr">
        <is>
          <t>Th_pf^cb (continuous batching итог)</t>
        </is>
      </c>
      <c r="B32" s="4" t="inlineStr">
        <is>
          <t>min(Th_pf^cb,compute, Th_pf^cb,mem)</t>
        </is>
      </c>
      <c r="C32" s="4" t="inlineStr">
        <is>
          <t>calc</t>
        </is>
      </c>
      <c r="D32" s="12">
        <f>MIN(D30,D31)</f>
        <v/>
      </c>
      <c r="E32" s="4" t="inlineStr">
        <is>
          <t>tok/s</t>
        </is>
      </c>
      <c r="F32" s="4" t="inlineStr">
        <is>
          <t>🟢 EvalScope</t>
        </is>
      </c>
    </row>
    <row r="33">
      <c r="A33" s="8" t="inlineStr">
        <is>
          <t>Th_pf выбранное (эмпир. / continuous / static)</t>
        </is>
      </c>
      <c r="B33" s="4" t="inlineStr">
        <is>
          <t>Th_pf_emp &gt; 0 → эмпирический; иначе engine_mode=continuous → Th_pf^cb, engine_mode=static → Th_pf_analyt</t>
        </is>
      </c>
      <c r="C33" s="4" t="inlineStr">
        <is>
          <t>calc</t>
        </is>
      </c>
      <c r="D33" s="12">
        <f>IF(Inputs!D65&gt;0,Inputs!D65,IF(Inputs!D69="continuous",D32,D29))</f>
        <v/>
      </c>
      <c r="E33" s="4" t="inlineStr">
        <is>
          <t>tok/s</t>
        </is>
      </c>
      <c r="F33" s="4" t="inlineStr">
        <is>
          <t>🟢 EvalScope</t>
        </is>
      </c>
    </row>
    <row r="34">
      <c r="A34" s="8" t="inlineStr">
        <is>
          <t>Th_pf / roofline (санити-чек по FLOPS)</t>
        </is>
      </c>
      <c r="B34" s="4" t="inlineStr">
        <is>
          <t>&lt;1.0: под потолком; 1.0-1.5: разумно; &gt;1.5: K_batch завышает Th_pf</t>
        </is>
      </c>
      <c r="C34" s="4" t="inlineStr">
        <is>
          <t>calc</t>
        </is>
      </c>
      <c r="D34" s="10">
        <f>IF(D26&gt;0,D33*(D25+4*Inputs!D38*Inputs!D39*D27)/(D26*Inputs!D61),0)</f>
        <v/>
      </c>
      <c r="E34" s="4" t="inlineStr">
        <is>
          <t>×</t>
        </is>
      </c>
      <c r="F34" s="4" t="inlineStr">
        <is>
          <t>🔵 derived</t>
        </is>
      </c>
    </row>
    <row r="35">
      <c r="A35" s="8" t="inlineStr">
        <is>
          <t>Th_dec^compute (per-session)</t>
        </is>
      </c>
      <c r="B35" s="4" t="inlineStr">
        <is>
          <t>F_count · η_dec / (FPS + 4·L·H·(SL_pf + (T_dec-1)/2)) · (1/BS_real)</t>
        </is>
      </c>
      <c r="C35" s="4" t="inlineStr">
        <is>
          <t>calc</t>
        </is>
      </c>
      <c r="D35" s="12">
        <f>IF(D28&gt;0,D26*Inputs!D62/(D25+4*Inputs!D38*Inputs!D39*(Inputs!D21+(Inputs!D22-1)/2))/D28,0)</f>
        <v/>
      </c>
      <c r="E35" s="4" t="inlineStr">
        <is>
          <t>tok/s/sess.</t>
        </is>
      </c>
      <c r="F35" s="4" t="inlineStr">
        <is>
          <t>🔵 derived</t>
        </is>
      </c>
    </row>
    <row r="36">
      <c r="A36" s="8" t="inlineStr">
        <is>
          <t>Th_dec^mem (per-session, memory-bound)</t>
        </is>
      </c>
      <c r="B36" s="4" t="inlineStr">
        <is>
          <t>BW_GPU·10⁹·η_mem / (P_eff(BS)·10⁹·B_quant + BS_real·M_KV·1024³ + O_fixed·1024³)</t>
        </is>
      </c>
      <c r="C36" s="4" t="inlineStr">
        <is>
          <t>calc</t>
        </is>
      </c>
      <c r="D36" s="12">
        <f>IF(D28&gt;0,Inputs!D28*10^9*Inputs!D63/(IF(Inputs!D52,(Inputs!D48+Inputs!D49*(1-POWER(1-Inputs!D50/Inputs!D51,D28))),Inputs!D37)*10^9*Inputs!D54+D28*D7*1024^3+Inputs!D72*1024^3),0)</f>
        <v/>
      </c>
      <c r="E36" s="4" t="inlineStr">
        <is>
          <t>tok/s/sess.</t>
        </is>
      </c>
      <c r="F36" s="4" t="inlineStr">
        <is>
          <t>🟢 EvalScope</t>
        </is>
      </c>
    </row>
    <row r="37">
      <c r="A37" s="8" t="inlineStr">
        <is>
          <t>Th_dec аналитическая = min(compute, mem)</t>
        </is>
      </c>
      <c r="B37" s="4" t="inlineStr">
        <is>
          <t>Узкое место — минимум из двух пределов</t>
        </is>
      </c>
      <c r="C37" s="4" t="inlineStr">
        <is>
          <t>calc</t>
        </is>
      </c>
      <c r="D37" s="12">
        <f>IF(AND(D35&gt;0,D36&gt;0),MIN(D35,D36),0)</f>
        <v/>
      </c>
      <c r="E37" s="4" t="inlineStr">
        <is>
          <t>tok/s/sess.</t>
        </is>
      </c>
      <c r="F37" s="4" t="inlineStr">
        <is>
          <t>🟢 EvalScope</t>
        </is>
      </c>
    </row>
    <row r="38">
      <c r="A38" s="8" t="inlineStr">
        <is>
          <t>Th_dec выбранное (эмпир. или аналит., с K_spec)</t>
        </is>
      </c>
      <c r="B38" s="4" t="inlineStr">
        <is>
          <t>Если Th_dec_emp &gt; 0 — использовать его; иначе min(compute, mem). Далее: Th_dec · K_spec (спекулятивное декодирование, §3.1 H-5).</t>
        </is>
      </c>
      <c r="C38" s="4" t="inlineStr">
        <is>
          <t>calc</t>
        </is>
      </c>
      <c r="D38" s="12">
        <f>IF(Inputs!D66&gt;0,Inputs!D66,D37)*Inputs!D68</f>
        <v/>
      </c>
      <c r="E38" s="4" t="inlineStr">
        <is>
          <t>tok/s/sess.</t>
        </is>
      </c>
      <c r="F38" s="4" t="inlineStr">
        <is>
          <t>🟢 EvalScope</t>
        </is>
      </c>
    </row>
    <row r="39">
      <c r="A39" s="8" t="inlineStr">
        <is>
          <t>C^model(BS_real): запросов/с на экземпляр</t>
        </is>
      </c>
      <c r="B39" s="4" t="inlineStr">
        <is>
          <t>BS_real / (SL_pf^eff/Th_pf + T_dec/Th_dec(BS_real))</t>
        </is>
      </c>
      <c r="C39" s="4" t="inlineStr">
        <is>
          <t>calc</t>
        </is>
      </c>
      <c r="D39" s="13">
        <f>IF(AND(D33&gt;0,D38&gt;0),D28/(D27/D33+Inputs!D22/D38),0)</f>
        <v/>
      </c>
      <c r="E39" s="4" t="inlineStr">
        <is>
          <t>req/s</t>
        </is>
      </c>
      <c r="F39" s="4" t="inlineStr">
        <is>
          <t>🟢 EvalScope</t>
        </is>
      </c>
    </row>
    <row r="40">
      <c r="A40" s="8" t="inlineStr">
        <is>
          <t>Th_server_comp (req/s на сервер)</t>
        </is>
      </c>
      <c r="B40" s="4" t="inlineStr">
        <is>
          <t>N_TP=Z · C^model</t>
        </is>
      </c>
      <c r="C40" s="4" t="inlineStr">
        <is>
          <t>calc</t>
        </is>
      </c>
      <c r="D40" s="13">
        <f>D12*D39</f>
        <v/>
      </c>
      <c r="E40" s="4" t="inlineStr">
        <is>
          <t>req/s</t>
        </is>
      </c>
      <c r="F40" s="4" t="inlineStr">
        <is>
          <t>🟢 EvalScope</t>
        </is>
      </c>
    </row>
    <row r="41">
      <c r="A41" s="8" t="inlineStr">
        <is>
          <t>Серверов по compute (Servers_count^comp)</t>
        </is>
      </c>
      <c r="B41" s="4" t="inlineStr">
        <is>
          <t>⌈S_sim · R · K_SLA / Th_server_comp⌉</t>
        </is>
      </c>
      <c r="C41" s="4" t="inlineStr">
        <is>
          <t>calc</t>
        </is>
      </c>
      <c r="D41" s="17">
        <f>IF(D40&gt;0,CEILING(Inputs!D12*Inputs!D75*Inputs!D76/D40,1),0)</f>
        <v/>
      </c>
      <c r="E41" s="4" t="inlineStr">
        <is>
          <t>pcs</t>
        </is>
      </c>
      <c r="F41" s="4" t="inlineStr">
        <is>
          <t>🟢 deployment</t>
        </is>
      </c>
    </row>
    <row r="42">
      <c r="A42" s="5" t="inlineStr">
        <is>
          <t>§6.4 Итеративная резолюция BS_real ↔ Servers_count (10 итераций)</t>
        </is>
      </c>
      <c r="B42" s="6" t="n"/>
      <c r="C42" s="6" t="n"/>
      <c r="D42" s="6" t="n"/>
      <c r="E42" s="6" t="n"/>
      <c r="F42" s="7" t="n"/>
    </row>
    <row r="43">
      <c r="A43" s="8" t="inlineStr">
        <is>
          <t>Servers^(1)</t>
        </is>
      </c>
      <c r="B43" s="4" t="inlineStr">
        <is>
          <t>Итерация 1: max(Servers_mem, ⌈S_sim·R·K_SLA/(N·C^model(BS^1))⌉)</t>
        </is>
      </c>
      <c r="C43" s="4" t="inlineStr">
        <is>
          <t>calc</t>
        </is>
      </c>
      <c r="D43" s="12">
        <f>MAX(D22,IF(AND((IF(AND(D33&gt;0,((IF(Inputs!D66&gt;0,Inputs!D66,MIN(D26*Inputs!D62/(D25+4*Inputs!D38*Inputs!D39*(Inputs!D21+(Inputs!D22-1)/2))/(IF(AND(D12&gt;0,D22&gt;0),MIN(D15,CEILING(Inputs!D12/(D12*D22),1)),1)),Inputs!D28*10^9*Inputs!D63/(IF(Inputs!D52,(Inputs!D48+Inputs!D49*(1-POWER(1-Inputs!D50/Inputs!D51,(IF(AND(D12&gt;0,D22&gt;0),MIN(D15,CEILING(Inputs!D12/(D12*D22),1)),1))))),Inputs!D37)*10^9*Inputs!D54+(IF(AND(D12&gt;0,D22&gt;0),MIN(D15,CEILING(Inputs!D12/(D12*D22),1)),1))*D7*1024^3+Inputs!D72*1024^3)))*Inputs!D68))&gt;0),(IF(AND(D12&gt;0,D22&gt;0),MIN(D15,CEILING(Inputs!D12/(D12*D22),1)),1))/(D27/D33+Inputs!D22/((IF(Inputs!D66&gt;0,Inputs!D66,MIN(D26*Inputs!D62/(D25+4*Inputs!D38*Inputs!D39*(Inputs!D21+(Inputs!D22-1)/2))/(IF(AND(D12&gt;0,D22&gt;0),MIN(D15,CEILING(Inputs!D12/(D12*D22),1)),1)),Inputs!D28*10^9*Inputs!D63/(IF(Inputs!D52,(Inputs!D48+Inputs!D49*(1-POWER(1-Inputs!D50/Inputs!D51,(IF(AND(D12&gt;0,D22&gt;0),MIN(D15,CEILING(Inputs!D12/(D12*D22),1)),1))))),Inputs!D37)*10^9*Inputs!D54+(IF(AND(D12&gt;0,D22&gt;0),MIN(D15,CEILING(Inputs!D12/(D12*D22),1)),1))*D7*1024^3+Inputs!D72*1024^3)))*Inputs!D68))),0))&gt;0,D12&gt;0),CEILING(Inputs!D12*Inputs!D75*Inputs!D76/(D12*(IF(AND(D33&gt;0,((IF(Inputs!D66&gt;0,Inputs!D66,MIN(D26*Inputs!D62/(D25+4*Inputs!D38*Inputs!D39*(Inputs!D21+(Inputs!D22-1)/2))/(IF(AND(D12&gt;0,D22&gt;0),MIN(D15,CEILING(Inputs!D12/(D12*D22),1)),1)),Inputs!D28*10^9*Inputs!D63/(IF(Inputs!D52,(Inputs!D48+Inputs!D49*(1-POWER(1-Inputs!D50/Inputs!D51,(IF(AND(D12&gt;0,D22&gt;0),MIN(D15,CEILING(Inputs!D12/(D12*D22),1)),1))))),Inputs!D37)*10^9*Inputs!D54+(IF(AND(D12&gt;0,D22&gt;0),MIN(D15,CEILING(Inputs!D12/(D12*D22),1)),1))*D7*1024^3+Inputs!D72*1024^3)))*Inputs!D68))&gt;0),(IF(AND(D12&gt;0,D22&gt;0),MIN(D15,CEILING(Inputs!D12/(D12*D22),1)),1))/(D27/D33+Inputs!D22/((IF(Inputs!D66&gt;0,Inputs!D66,MIN(D26*Inputs!D62/(D25+4*Inputs!D38*Inputs!D39*(Inputs!D21+(Inputs!D22-1)/2))/(IF(AND(D12&gt;0,D22&gt;0),MIN(D15,CEILING(Inputs!D12/(D12*D22),1)),1)),Inputs!D28*10^9*Inputs!D63/(IF(Inputs!D52,(Inputs!D48+Inputs!D49*(1-POWER(1-Inputs!D50/Inputs!D51,(IF(AND(D12&gt;0,D22&gt;0),MIN(D15,CEILING(Inputs!D12/(D12*D22),1)),1))))),Inputs!D37)*10^9*Inputs!D54+(IF(AND(D12&gt;0,D22&gt;0),MIN(D15,CEILING(Inputs!D12/(D12*D22),1)),1))*D7*1024^3+Inputs!D72*1024^3)))*Inputs!D68))),0))),1),0))</f>
        <v/>
      </c>
      <c r="E43" s="4" t="inlineStr">
        <is>
          <t>pcs</t>
        </is>
      </c>
      <c r="F43" s="4" t="inlineStr">
        <is>
          <t>🔵 derived</t>
        </is>
      </c>
    </row>
    <row r="44">
      <c r="A44" s="8" t="inlineStr">
        <is>
          <t>Servers^(2)</t>
        </is>
      </c>
      <c r="B44" s="4" t="inlineStr">
        <is>
          <t>Итерация 2: max(Servers_mem, ⌈S_sim·R·K_SLA/(N·C^model(BS^2))⌉)</t>
        </is>
      </c>
      <c r="C44" s="4" t="inlineStr">
        <is>
          <t>calc</t>
        </is>
      </c>
      <c r="D44" s="12">
        <f>MAX(D22,IF(AND((IF(AND(D33&gt;0,((IF(Inputs!D66&gt;0,Inputs!D66,MIN(D26*Inputs!D62/(D25+4*Inputs!D38*Inputs!D39*(Inputs!D21+(Inputs!D22-1)/2))/(IF(AND(D12&gt;0,D43&gt;0),MIN(D15,CEILING(Inputs!D12/(D12*D43),1)),1)),Inputs!D28*10^9*Inputs!D63/(IF(Inputs!D52,(Inputs!D48+Inputs!D49*(1-POWER(1-Inputs!D50/Inputs!D51,(IF(AND(D12&gt;0,D43&gt;0),MIN(D15,CEILING(Inputs!D12/(D12*D43),1)),1))))),Inputs!D37)*10^9*Inputs!D54+(IF(AND(D12&gt;0,D43&gt;0),MIN(D15,CEILING(Inputs!D12/(D12*D43),1)),1))*D7*1024^3+Inputs!D72*1024^3)))*Inputs!D68))&gt;0),(IF(AND(D12&gt;0,D43&gt;0),MIN(D15,CEILING(Inputs!D12/(D12*D43),1)),1))/(D27/D33+Inputs!D22/((IF(Inputs!D66&gt;0,Inputs!D66,MIN(D26*Inputs!D62/(D25+4*Inputs!D38*Inputs!D39*(Inputs!D21+(Inputs!D22-1)/2))/(IF(AND(D12&gt;0,D43&gt;0),MIN(D15,CEILING(Inputs!D12/(D12*D43),1)),1)),Inputs!D28*10^9*Inputs!D63/(IF(Inputs!D52,(Inputs!D48+Inputs!D49*(1-POWER(1-Inputs!D50/Inputs!D51,(IF(AND(D12&gt;0,D43&gt;0),MIN(D15,CEILING(Inputs!D12/(D12*D43),1)),1))))),Inputs!D37)*10^9*Inputs!D54+(IF(AND(D12&gt;0,D43&gt;0),MIN(D15,CEILING(Inputs!D12/(D12*D43),1)),1))*D7*1024^3+Inputs!D72*1024^3)))*Inputs!D68))),0))&gt;0,D12&gt;0),CEILING(Inputs!D12*Inputs!D75*Inputs!D76/(D12*(IF(AND(D33&gt;0,((IF(Inputs!D66&gt;0,Inputs!D66,MIN(D26*Inputs!D62/(D25+4*Inputs!D38*Inputs!D39*(Inputs!D21+(Inputs!D22-1)/2))/(IF(AND(D12&gt;0,D43&gt;0),MIN(D15,CEILING(Inputs!D12/(D12*D43),1)),1)),Inputs!D28*10^9*Inputs!D63/(IF(Inputs!D52,(Inputs!D48+Inputs!D49*(1-POWER(1-Inputs!D50/Inputs!D51,(IF(AND(D12&gt;0,D43&gt;0),MIN(D15,CEILING(Inputs!D12/(D12*D43),1)),1))))),Inputs!D37)*10^9*Inputs!D54+(IF(AND(D12&gt;0,D43&gt;0),MIN(D15,CEILING(Inputs!D12/(D12*D43),1)),1))*D7*1024^3+Inputs!D72*1024^3)))*Inputs!D68))&gt;0),(IF(AND(D12&gt;0,D43&gt;0),MIN(D15,CEILING(Inputs!D12/(D12*D43),1)),1))/(D27/D33+Inputs!D22/((IF(Inputs!D66&gt;0,Inputs!D66,MIN(D26*Inputs!D62/(D25+4*Inputs!D38*Inputs!D39*(Inputs!D21+(Inputs!D22-1)/2))/(IF(AND(D12&gt;0,D43&gt;0),MIN(D15,CEILING(Inputs!D12/(D12*D43),1)),1)),Inputs!D28*10^9*Inputs!D63/(IF(Inputs!D52,(Inputs!D48+Inputs!D49*(1-POWER(1-Inputs!D50/Inputs!D51,(IF(AND(D12&gt;0,D43&gt;0),MIN(D15,CEILING(Inputs!D12/(D12*D43),1)),1))))),Inputs!D37)*10^9*Inputs!D54+(IF(AND(D12&gt;0,D43&gt;0),MIN(D15,CEILING(Inputs!D12/(D12*D43),1)),1))*D7*1024^3+Inputs!D72*1024^3)))*Inputs!D68))),0))),1),0))</f>
        <v/>
      </c>
      <c r="E44" s="4" t="inlineStr">
        <is>
          <t>pcs</t>
        </is>
      </c>
      <c r="F44" s="4" t="inlineStr">
        <is>
          <t>🔵 derived</t>
        </is>
      </c>
    </row>
    <row r="45">
      <c r="A45" s="8" t="inlineStr">
        <is>
          <t>Servers^(3)</t>
        </is>
      </c>
      <c r="B45" s="4" t="inlineStr">
        <is>
          <t>Итерация 3: max(Servers_mem, ⌈S_sim·R·K_SLA/(N·C^model(BS^3))⌉)</t>
        </is>
      </c>
      <c r="C45" s="4" t="inlineStr">
        <is>
          <t>calc</t>
        </is>
      </c>
      <c r="D45" s="12">
        <f>MAX(D22,IF(AND((IF(AND(D33&gt;0,((IF(Inputs!D66&gt;0,Inputs!D66,MIN(D26*Inputs!D62/(D25+4*Inputs!D38*Inputs!D39*(Inputs!D21+(Inputs!D22-1)/2))/(IF(AND(D12&gt;0,D44&gt;0),MIN(D15,CEILING(Inputs!D12/(D12*D44),1)),1)),Inputs!D28*10^9*Inputs!D63/(IF(Inputs!D52,(Inputs!D48+Inputs!D49*(1-POWER(1-Inputs!D50/Inputs!D51,(IF(AND(D12&gt;0,D44&gt;0),MIN(D15,CEILING(Inputs!D12/(D12*D44),1)),1))))),Inputs!D37)*10^9*Inputs!D54+(IF(AND(D12&gt;0,D44&gt;0),MIN(D15,CEILING(Inputs!D12/(D12*D44),1)),1))*D7*1024^3+Inputs!D72*1024^3)))*Inputs!D68))&gt;0),(IF(AND(D12&gt;0,D44&gt;0),MIN(D15,CEILING(Inputs!D12/(D12*D44),1)),1))/(D27/D33+Inputs!D22/((IF(Inputs!D66&gt;0,Inputs!D66,MIN(D26*Inputs!D62/(D25+4*Inputs!D38*Inputs!D39*(Inputs!D21+(Inputs!D22-1)/2))/(IF(AND(D12&gt;0,D44&gt;0),MIN(D15,CEILING(Inputs!D12/(D12*D44),1)),1)),Inputs!D28*10^9*Inputs!D63/(IF(Inputs!D52,(Inputs!D48+Inputs!D49*(1-POWER(1-Inputs!D50/Inputs!D51,(IF(AND(D12&gt;0,D44&gt;0),MIN(D15,CEILING(Inputs!D12/(D12*D44),1)),1))))),Inputs!D37)*10^9*Inputs!D54+(IF(AND(D12&gt;0,D44&gt;0),MIN(D15,CEILING(Inputs!D12/(D12*D44),1)),1))*D7*1024^3+Inputs!D72*1024^3)))*Inputs!D68))),0))&gt;0,D12&gt;0),CEILING(Inputs!D12*Inputs!D75*Inputs!D76/(D12*(IF(AND(D33&gt;0,((IF(Inputs!D66&gt;0,Inputs!D66,MIN(D26*Inputs!D62/(D25+4*Inputs!D38*Inputs!D39*(Inputs!D21+(Inputs!D22-1)/2))/(IF(AND(D12&gt;0,D44&gt;0),MIN(D15,CEILING(Inputs!D12/(D12*D44),1)),1)),Inputs!D28*10^9*Inputs!D63/(IF(Inputs!D52,(Inputs!D48+Inputs!D49*(1-POWER(1-Inputs!D50/Inputs!D51,(IF(AND(D12&gt;0,D44&gt;0),MIN(D15,CEILING(Inputs!D12/(D12*D44),1)),1))))),Inputs!D37)*10^9*Inputs!D54+(IF(AND(D12&gt;0,D44&gt;0),MIN(D15,CEILING(Inputs!D12/(D12*D44),1)),1))*D7*1024^3+Inputs!D72*1024^3)))*Inputs!D68))&gt;0),(IF(AND(D12&gt;0,D44&gt;0),MIN(D15,CEILING(Inputs!D12/(D12*D44),1)),1))/(D27/D33+Inputs!D22/((IF(Inputs!D66&gt;0,Inputs!D66,MIN(D26*Inputs!D62/(D25+4*Inputs!D38*Inputs!D39*(Inputs!D21+(Inputs!D22-1)/2))/(IF(AND(D12&gt;0,D44&gt;0),MIN(D15,CEILING(Inputs!D12/(D12*D44),1)),1)),Inputs!D28*10^9*Inputs!D63/(IF(Inputs!D52,(Inputs!D48+Inputs!D49*(1-POWER(1-Inputs!D50/Inputs!D51,(IF(AND(D12&gt;0,D44&gt;0),MIN(D15,CEILING(Inputs!D12/(D12*D44),1)),1))))),Inputs!D37)*10^9*Inputs!D54+(IF(AND(D12&gt;0,D44&gt;0),MIN(D15,CEILING(Inputs!D12/(D12*D44),1)),1))*D7*1024^3+Inputs!D72*1024^3)))*Inputs!D68))),0))),1),0))</f>
        <v/>
      </c>
      <c r="E45" s="4" t="inlineStr">
        <is>
          <t>pcs</t>
        </is>
      </c>
      <c r="F45" s="4" t="inlineStr">
        <is>
          <t>🔵 derived</t>
        </is>
      </c>
    </row>
    <row r="46">
      <c r="A46" s="8" t="inlineStr">
        <is>
          <t>Servers^(4)</t>
        </is>
      </c>
      <c r="B46" s="4" t="inlineStr">
        <is>
          <t>Итерация 4: max(Servers_mem, ⌈S_sim·R·K_SLA/(N·C^model(BS^4))⌉)</t>
        </is>
      </c>
      <c r="C46" s="4" t="inlineStr">
        <is>
          <t>calc</t>
        </is>
      </c>
      <c r="D46" s="12">
        <f>MAX(D22,IF(AND((IF(AND(D33&gt;0,((IF(Inputs!D66&gt;0,Inputs!D66,MIN(D26*Inputs!D62/(D25+4*Inputs!D38*Inputs!D39*(Inputs!D21+(Inputs!D22-1)/2))/(IF(AND(D12&gt;0,D45&gt;0),MIN(D15,CEILING(Inputs!D12/(D12*D45),1)),1)),Inputs!D28*10^9*Inputs!D63/(IF(Inputs!D52,(Inputs!D48+Inputs!D49*(1-POWER(1-Inputs!D50/Inputs!D51,(IF(AND(D12&gt;0,D45&gt;0),MIN(D15,CEILING(Inputs!D12/(D12*D45),1)),1))))),Inputs!D37)*10^9*Inputs!D54+(IF(AND(D12&gt;0,D45&gt;0),MIN(D15,CEILING(Inputs!D12/(D12*D45),1)),1))*D7*1024^3+Inputs!D72*1024^3)))*Inputs!D68))&gt;0),(IF(AND(D12&gt;0,D45&gt;0),MIN(D15,CEILING(Inputs!D12/(D12*D45),1)),1))/(D27/D33+Inputs!D22/((IF(Inputs!D66&gt;0,Inputs!D66,MIN(D26*Inputs!D62/(D25+4*Inputs!D38*Inputs!D39*(Inputs!D21+(Inputs!D22-1)/2))/(IF(AND(D12&gt;0,D45&gt;0),MIN(D15,CEILING(Inputs!D12/(D12*D45),1)),1)),Inputs!D28*10^9*Inputs!D63/(IF(Inputs!D52,(Inputs!D48+Inputs!D49*(1-POWER(1-Inputs!D50/Inputs!D51,(IF(AND(D12&gt;0,D45&gt;0),MIN(D15,CEILING(Inputs!D12/(D12*D45),1)),1))))),Inputs!D37)*10^9*Inputs!D54+(IF(AND(D12&gt;0,D45&gt;0),MIN(D15,CEILING(Inputs!D12/(D12*D45),1)),1))*D7*1024^3+Inputs!D72*1024^3)))*Inputs!D68))),0))&gt;0,D12&gt;0),CEILING(Inputs!D12*Inputs!D75*Inputs!D76/(D12*(IF(AND(D33&gt;0,((IF(Inputs!D66&gt;0,Inputs!D66,MIN(D26*Inputs!D62/(D25+4*Inputs!D38*Inputs!D39*(Inputs!D21+(Inputs!D22-1)/2))/(IF(AND(D12&gt;0,D45&gt;0),MIN(D15,CEILING(Inputs!D12/(D12*D45),1)),1)),Inputs!D28*10^9*Inputs!D63/(IF(Inputs!D52,(Inputs!D48+Inputs!D49*(1-POWER(1-Inputs!D50/Inputs!D51,(IF(AND(D12&gt;0,D45&gt;0),MIN(D15,CEILING(Inputs!D12/(D12*D45),1)),1))))),Inputs!D37)*10^9*Inputs!D54+(IF(AND(D12&gt;0,D45&gt;0),MIN(D15,CEILING(Inputs!D12/(D12*D45),1)),1))*D7*1024^3+Inputs!D72*1024^3)))*Inputs!D68))&gt;0),(IF(AND(D12&gt;0,D45&gt;0),MIN(D15,CEILING(Inputs!D12/(D12*D45),1)),1))/(D27/D33+Inputs!D22/((IF(Inputs!D66&gt;0,Inputs!D66,MIN(D26*Inputs!D62/(D25+4*Inputs!D38*Inputs!D39*(Inputs!D21+(Inputs!D22-1)/2))/(IF(AND(D12&gt;0,D45&gt;0),MIN(D15,CEILING(Inputs!D12/(D12*D45),1)),1)),Inputs!D28*10^9*Inputs!D63/(IF(Inputs!D52,(Inputs!D48+Inputs!D49*(1-POWER(1-Inputs!D50/Inputs!D51,(IF(AND(D12&gt;0,D45&gt;0),MIN(D15,CEILING(Inputs!D12/(D12*D45),1)),1))))),Inputs!D37)*10^9*Inputs!D54+(IF(AND(D12&gt;0,D45&gt;0),MIN(D15,CEILING(Inputs!D12/(D12*D45),1)),1))*D7*1024^3+Inputs!D72*1024^3)))*Inputs!D68))),0))),1),0))</f>
        <v/>
      </c>
      <c r="E46" s="4" t="inlineStr">
        <is>
          <t>pcs</t>
        </is>
      </c>
      <c r="F46" s="4" t="inlineStr">
        <is>
          <t>🔵 derived</t>
        </is>
      </c>
    </row>
    <row r="47">
      <c r="A47" s="8" t="inlineStr">
        <is>
          <t>Servers^(5)</t>
        </is>
      </c>
      <c r="B47" s="4" t="inlineStr">
        <is>
          <t>Итерация 5: max(Servers_mem, ⌈S_sim·R·K_SLA/(N·C^model(BS^5))⌉)</t>
        </is>
      </c>
      <c r="C47" s="4" t="inlineStr">
        <is>
          <t>calc</t>
        </is>
      </c>
      <c r="D47" s="12">
        <f>MAX(D22,IF(AND((IF(AND(D33&gt;0,((IF(Inputs!D66&gt;0,Inputs!D66,MIN(D26*Inputs!D62/(D25+4*Inputs!D38*Inputs!D39*(Inputs!D21+(Inputs!D22-1)/2))/(IF(AND(D12&gt;0,D46&gt;0),MIN(D15,CEILING(Inputs!D12/(D12*D46),1)),1)),Inputs!D28*10^9*Inputs!D63/(IF(Inputs!D52,(Inputs!D48+Inputs!D49*(1-POWER(1-Inputs!D50/Inputs!D51,(IF(AND(D12&gt;0,D46&gt;0),MIN(D15,CEILING(Inputs!D12/(D12*D46),1)),1))))),Inputs!D37)*10^9*Inputs!D54+(IF(AND(D12&gt;0,D46&gt;0),MIN(D15,CEILING(Inputs!D12/(D12*D46),1)),1))*D7*1024^3+Inputs!D72*1024^3)))*Inputs!D68))&gt;0),(IF(AND(D12&gt;0,D46&gt;0),MIN(D15,CEILING(Inputs!D12/(D12*D46),1)),1))/(D27/D33+Inputs!D22/((IF(Inputs!D66&gt;0,Inputs!D66,MIN(D26*Inputs!D62/(D25+4*Inputs!D38*Inputs!D39*(Inputs!D21+(Inputs!D22-1)/2))/(IF(AND(D12&gt;0,D46&gt;0),MIN(D15,CEILING(Inputs!D12/(D12*D46),1)),1)),Inputs!D28*10^9*Inputs!D63/(IF(Inputs!D52,(Inputs!D48+Inputs!D49*(1-POWER(1-Inputs!D50/Inputs!D51,(IF(AND(D12&gt;0,D46&gt;0),MIN(D15,CEILING(Inputs!D12/(D12*D46),1)),1))))),Inputs!D37)*10^9*Inputs!D54+(IF(AND(D12&gt;0,D46&gt;0),MIN(D15,CEILING(Inputs!D12/(D12*D46),1)),1))*D7*1024^3+Inputs!D72*1024^3)))*Inputs!D68))),0))&gt;0,D12&gt;0),CEILING(Inputs!D12*Inputs!D75*Inputs!D76/(D12*(IF(AND(D33&gt;0,((IF(Inputs!D66&gt;0,Inputs!D66,MIN(D26*Inputs!D62/(D25+4*Inputs!D38*Inputs!D39*(Inputs!D21+(Inputs!D22-1)/2))/(IF(AND(D12&gt;0,D46&gt;0),MIN(D15,CEILING(Inputs!D12/(D12*D46),1)),1)),Inputs!D28*10^9*Inputs!D63/(IF(Inputs!D52,(Inputs!D48+Inputs!D49*(1-POWER(1-Inputs!D50/Inputs!D51,(IF(AND(D12&gt;0,D46&gt;0),MIN(D15,CEILING(Inputs!D12/(D12*D46),1)),1))))),Inputs!D37)*10^9*Inputs!D54+(IF(AND(D12&gt;0,D46&gt;0),MIN(D15,CEILING(Inputs!D12/(D12*D46),1)),1))*D7*1024^3+Inputs!D72*1024^3)))*Inputs!D68))&gt;0),(IF(AND(D12&gt;0,D46&gt;0),MIN(D15,CEILING(Inputs!D12/(D12*D46),1)),1))/(D27/D33+Inputs!D22/((IF(Inputs!D66&gt;0,Inputs!D66,MIN(D26*Inputs!D62/(D25+4*Inputs!D38*Inputs!D39*(Inputs!D21+(Inputs!D22-1)/2))/(IF(AND(D12&gt;0,D46&gt;0),MIN(D15,CEILING(Inputs!D12/(D12*D46),1)),1)),Inputs!D28*10^9*Inputs!D63/(IF(Inputs!D52,(Inputs!D48+Inputs!D49*(1-POWER(1-Inputs!D50/Inputs!D51,(IF(AND(D12&gt;0,D46&gt;0),MIN(D15,CEILING(Inputs!D12/(D12*D46),1)),1))))),Inputs!D37)*10^9*Inputs!D54+(IF(AND(D12&gt;0,D46&gt;0),MIN(D15,CEILING(Inputs!D12/(D12*D46),1)),1))*D7*1024^3+Inputs!D72*1024^3)))*Inputs!D68))),0))),1),0))</f>
        <v/>
      </c>
      <c r="E47" s="4" t="inlineStr">
        <is>
          <t>pcs</t>
        </is>
      </c>
      <c r="F47" s="4" t="inlineStr">
        <is>
          <t>🔵 derived</t>
        </is>
      </c>
    </row>
    <row r="48">
      <c r="A48" s="8" t="inlineStr">
        <is>
          <t>Servers^(6)</t>
        </is>
      </c>
      <c r="B48" s="4" t="inlineStr">
        <is>
          <t>Итерация 6: max(Servers_mem, ⌈S_sim·R·K_SLA/(N·C^model(BS^6))⌉)</t>
        </is>
      </c>
      <c r="C48" s="4" t="inlineStr">
        <is>
          <t>calc</t>
        </is>
      </c>
      <c r="D48" s="12">
        <f>MAX(D22,IF(AND((IF(AND(D33&gt;0,((IF(Inputs!D66&gt;0,Inputs!D66,MIN(D26*Inputs!D62/(D25+4*Inputs!D38*Inputs!D39*(Inputs!D21+(Inputs!D22-1)/2))/(IF(AND(D12&gt;0,D47&gt;0),MIN(D15,CEILING(Inputs!D12/(D12*D47),1)),1)),Inputs!D28*10^9*Inputs!D63/(IF(Inputs!D52,(Inputs!D48+Inputs!D49*(1-POWER(1-Inputs!D50/Inputs!D51,(IF(AND(D12&gt;0,D47&gt;0),MIN(D15,CEILING(Inputs!D12/(D12*D47),1)),1))))),Inputs!D37)*10^9*Inputs!D54+(IF(AND(D12&gt;0,D47&gt;0),MIN(D15,CEILING(Inputs!D12/(D12*D47),1)),1))*D7*1024^3+Inputs!D72*1024^3)))*Inputs!D68))&gt;0),(IF(AND(D12&gt;0,D47&gt;0),MIN(D15,CEILING(Inputs!D12/(D12*D47),1)),1))/(D27/D33+Inputs!D22/((IF(Inputs!D66&gt;0,Inputs!D66,MIN(D26*Inputs!D62/(D25+4*Inputs!D38*Inputs!D39*(Inputs!D21+(Inputs!D22-1)/2))/(IF(AND(D12&gt;0,D47&gt;0),MIN(D15,CEILING(Inputs!D12/(D12*D47),1)),1)),Inputs!D28*10^9*Inputs!D63/(IF(Inputs!D52,(Inputs!D48+Inputs!D49*(1-POWER(1-Inputs!D50/Inputs!D51,(IF(AND(D12&gt;0,D47&gt;0),MIN(D15,CEILING(Inputs!D12/(D12*D47),1)),1))))),Inputs!D37)*10^9*Inputs!D54+(IF(AND(D12&gt;0,D47&gt;0),MIN(D15,CEILING(Inputs!D12/(D12*D47),1)),1))*D7*1024^3+Inputs!D72*1024^3)))*Inputs!D68))),0))&gt;0,D12&gt;0),CEILING(Inputs!D12*Inputs!D75*Inputs!D76/(D12*(IF(AND(D33&gt;0,((IF(Inputs!D66&gt;0,Inputs!D66,MIN(D26*Inputs!D62/(D25+4*Inputs!D38*Inputs!D39*(Inputs!D21+(Inputs!D22-1)/2))/(IF(AND(D12&gt;0,D47&gt;0),MIN(D15,CEILING(Inputs!D12/(D12*D47),1)),1)),Inputs!D28*10^9*Inputs!D63/(IF(Inputs!D52,(Inputs!D48+Inputs!D49*(1-POWER(1-Inputs!D50/Inputs!D51,(IF(AND(D12&gt;0,D47&gt;0),MIN(D15,CEILING(Inputs!D12/(D12*D47),1)),1))))),Inputs!D37)*10^9*Inputs!D54+(IF(AND(D12&gt;0,D47&gt;0),MIN(D15,CEILING(Inputs!D12/(D12*D47),1)),1))*D7*1024^3+Inputs!D72*1024^3)))*Inputs!D68))&gt;0),(IF(AND(D12&gt;0,D47&gt;0),MIN(D15,CEILING(Inputs!D12/(D12*D47),1)),1))/(D27/D33+Inputs!D22/((IF(Inputs!D66&gt;0,Inputs!D66,MIN(D26*Inputs!D62/(D25+4*Inputs!D38*Inputs!D39*(Inputs!D21+(Inputs!D22-1)/2))/(IF(AND(D12&gt;0,D47&gt;0),MIN(D15,CEILING(Inputs!D12/(D12*D47),1)),1)),Inputs!D28*10^9*Inputs!D63/(IF(Inputs!D52,(Inputs!D48+Inputs!D49*(1-POWER(1-Inputs!D50/Inputs!D51,(IF(AND(D12&gt;0,D47&gt;0),MIN(D15,CEILING(Inputs!D12/(D12*D47),1)),1))))),Inputs!D37)*10^9*Inputs!D54+(IF(AND(D12&gt;0,D47&gt;0),MIN(D15,CEILING(Inputs!D12/(D12*D47),1)),1))*D7*1024^3+Inputs!D72*1024^3)))*Inputs!D68))),0))),1),0))</f>
        <v/>
      </c>
      <c r="E48" s="4" t="inlineStr">
        <is>
          <t>pcs</t>
        </is>
      </c>
      <c r="F48" s="4" t="inlineStr">
        <is>
          <t>🔵 derived</t>
        </is>
      </c>
    </row>
    <row r="49">
      <c r="A49" s="8" t="inlineStr">
        <is>
          <t>Servers^(7)</t>
        </is>
      </c>
      <c r="B49" s="4" t="inlineStr">
        <is>
          <t>Итерация 7: max(Servers_mem, ⌈S_sim·R·K_SLA/(N·C^model(BS^7))⌉)</t>
        </is>
      </c>
      <c r="C49" s="4" t="inlineStr">
        <is>
          <t>calc</t>
        </is>
      </c>
      <c r="D49" s="12">
        <f>MAX(D22,IF(AND((IF(AND(D33&gt;0,((IF(Inputs!D66&gt;0,Inputs!D66,MIN(D26*Inputs!D62/(D25+4*Inputs!D38*Inputs!D39*(Inputs!D21+(Inputs!D22-1)/2))/(IF(AND(D12&gt;0,D48&gt;0),MIN(D15,CEILING(Inputs!D12/(D12*D48),1)),1)),Inputs!D28*10^9*Inputs!D63/(IF(Inputs!D52,(Inputs!D48+Inputs!D49*(1-POWER(1-Inputs!D50/Inputs!D51,(IF(AND(D12&gt;0,D48&gt;0),MIN(D15,CEILING(Inputs!D12/(D12*D48),1)),1))))),Inputs!D37)*10^9*Inputs!D54+(IF(AND(D12&gt;0,D48&gt;0),MIN(D15,CEILING(Inputs!D12/(D12*D48),1)),1))*D7*1024^3+Inputs!D72*1024^3)))*Inputs!D68))&gt;0),(IF(AND(D12&gt;0,D48&gt;0),MIN(D15,CEILING(Inputs!D12/(D12*D48),1)),1))/(D27/D33+Inputs!D22/((IF(Inputs!D66&gt;0,Inputs!D66,MIN(D26*Inputs!D62/(D25+4*Inputs!D38*Inputs!D39*(Inputs!D21+(Inputs!D22-1)/2))/(IF(AND(D12&gt;0,D48&gt;0),MIN(D15,CEILING(Inputs!D12/(D12*D48),1)),1)),Inputs!D28*10^9*Inputs!D63/(IF(Inputs!D52,(Inputs!D48+Inputs!D49*(1-POWER(1-Inputs!D50/Inputs!D51,(IF(AND(D12&gt;0,D48&gt;0),MIN(D15,CEILING(Inputs!D12/(D12*D48),1)),1))))),Inputs!D37)*10^9*Inputs!D54+(IF(AND(D12&gt;0,D48&gt;0),MIN(D15,CEILING(Inputs!D12/(D12*D48),1)),1))*D7*1024^3+Inputs!D72*1024^3)))*Inputs!D68))),0))&gt;0,D12&gt;0),CEILING(Inputs!D12*Inputs!D75*Inputs!D76/(D12*(IF(AND(D33&gt;0,((IF(Inputs!D66&gt;0,Inputs!D66,MIN(D26*Inputs!D62/(D25+4*Inputs!D38*Inputs!D39*(Inputs!D21+(Inputs!D22-1)/2))/(IF(AND(D12&gt;0,D48&gt;0),MIN(D15,CEILING(Inputs!D12/(D12*D48),1)),1)),Inputs!D28*10^9*Inputs!D63/(IF(Inputs!D52,(Inputs!D48+Inputs!D49*(1-POWER(1-Inputs!D50/Inputs!D51,(IF(AND(D12&gt;0,D48&gt;0),MIN(D15,CEILING(Inputs!D12/(D12*D48),1)),1))))),Inputs!D37)*10^9*Inputs!D54+(IF(AND(D12&gt;0,D48&gt;0),MIN(D15,CEILING(Inputs!D12/(D12*D48),1)),1))*D7*1024^3+Inputs!D72*1024^3)))*Inputs!D68))&gt;0),(IF(AND(D12&gt;0,D48&gt;0),MIN(D15,CEILING(Inputs!D12/(D12*D48),1)),1))/(D27/D33+Inputs!D22/((IF(Inputs!D66&gt;0,Inputs!D66,MIN(D26*Inputs!D62/(D25+4*Inputs!D38*Inputs!D39*(Inputs!D21+(Inputs!D22-1)/2))/(IF(AND(D12&gt;0,D48&gt;0),MIN(D15,CEILING(Inputs!D12/(D12*D48),1)),1)),Inputs!D28*10^9*Inputs!D63/(IF(Inputs!D52,(Inputs!D48+Inputs!D49*(1-POWER(1-Inputs!D50/Inputs!D51,(IF(AND(D12&gt;0,D48&gt;0),MIN(D15,CEILING(Inputs!D12/(D12*D48),1)),1))))),Inputs!D37)*10^9*Inputs!D54+(IF(AND(D12&gt;0,D48&gt;0),MIN(D15,CEILING(Inputs!D12/(D12*D48),1)),1))*D7*1024^3+Inputs!D72*1024^3)))*Inputs!D68))),0))),1),0))</f>
        <v/>
      </c>
      <c r="E49" s="4" t="inlineStr">
        <is>
          <t>pcs</t>
        </is>
      </c>
      <c r="F49" s="4" t="inlineStr">
        <is>
          <t>🔵 derived</t>
        </is>
      </c>
    </row>
    <row r="50">
      <c r="A50" s="8" t="inlineStr">
        <is>
          <t>Servers^(8)</t>
        </is>
      </c>
      <c r="B50" s="4" t="inlineStr">
        <is>
          <t>Итерация 8: max(Servers_mem, ⌈S_sim·R·K_SLA/(N·C^model(BS^8))⌉)</t>
        </is>
      </c>
      <c r="C50" s="4" t="inlineStr">
        <is>
          <t>calc</t>
        </is>
      </c>
      <c r="D50" s="12">
        <f>MAX(D22,IF(AND((IF(AND(D33&gt;0,((IF(Inputs!D66&gt;0,Inputs!D66,MIN(D26*Inputs!D62/(D25+4*Inputs!D38*Inputs!D39*(Inputs!D21+(Inputs!D22-1)/2))/(IF(AND(D12&gt;0,D49&gt;0),MIN(D15,CEILING(Inputs!D12/(D12*D49),1)),1)),Inputs!D28*10^9*Inputs!D63/(IF(Inputs!D52,(Inputs!D48+Inputs!D49*(1-POWER(1-Inputs!D50/Inputs!D51,(IF(AND(D12&gt;0,D49&gt;0),MIN(D15,CEILING(Inputs!D12/(D12*D49),1)),1))))),Inputs!D37)*10^9*Inputs!D54+(IF(AND(D12&gt;0,D49&gt;0),MIN(D15,CEILING(Inputs!D12/(D12*D49),1)),1))*D7*1024^3+Inputs!D72*1024^3)))*Inputs!D68))&gt;0),(IF(AND(D12&gt;0,D49&gt;0),MIN(D15,CEILING(Inputs!D12/(D12*D49),1)),1))/(D27/D33+Inputs!D22/((IF(Inputs!D66&gt;0,Inputs!D66,MIN(D26*Inputs!D62/(D25+4*Inputs!D38*Inputs!D39*(Inputs!D21+(Inputs!D22-1)/2))/(IF(AND(D12&gt;0,D49&gt;0),MIN(D15,CEILING(Inputs!D12/(D12*D49),1)),1)),Inputs!D28*10^9*Inputs!D63/(IF(Inputs!D52,(Inputs!D48+Inputs!D49*(1-POWER(1-Inputs!D50/Inputs!D51,(IF(AND(D12&gt;0,D49&gt;0),MIN(D15,CEILING(Inputs!D12/(D12*D49),1)),1))))),Inputs!D37)*10^9*Inputs!D54+(IF(AND(D12&gt;0,D49&gt;0),MIN(D15,CEILING(Inputs!D12/(D12*D49),1)),1))*D7*1024^3+Inputs!D72*1024^3)))*Inputs!D68))),0))&gt;0,D12&gt;0),CEILING(Inputs!D12*Inputs!D75*Inputs!D76/(D12*(IF(AND(D33&gt;0,((IF(Inputs!D66&gt;0,Inputs!D66,MIN(D26*Inputs!D62/(D25+4*Inputs!D38*Inputs!D39*(Inputs!D21+(Inputs!D22-1)/2))/(IF(AND(D12&gt;0,D49&gt;0),MIN(D15,CEILING(Inputs!D12/(D12*D49),1)),1)),Inputs!D28*10^9*Inputs!D63/(IF(Inputs!D52,(Inputs!D48+Inputs!D49*(1-POWER(1-Inputs!D50/Inputs!D51,(IF(AND(D12&gt;0,D49&gt;0),MIN(D15,CEILING(Inputs!D12/(D12*D49),1)),1))))),Inputs!D37)*10^9*Inputs!D54+(IF(AND(D12&gt;0,D49&gt;0),MIN(D15,CEILING(Inputs!D12/(D12*D49),1)),1))*D7*1024^3+Inputs!D72*1024^3)))*Inputs!D68))&gt;0),(IF(AND(D12&gt;0,D49&gt;0),MIN(D15,CEILING(Inputs!D12/(D12*D49),1)),1))/(D27/D33+Inputs!D22/((IF(Inputs!D66&gt;0,Inputs!D66,MIN(D26*Inputs!D62/(D25+4*Inputs!D38*Inputs!D39*(Inputs!D21+(Inputs!D22-1)/2))/(IF(AND(D12&gt;0,D49&gt;0),MIN(D15,CEILING(Inputs!D12/(D12*D49),1)),1)),Inputs!D28*10^9*Inputs!D63/(IF(Inputs!D52,(Inputs!D48+Inputs!D49*(1-POWER(1-Inputs!D50/Inputs!D51,(IF(AND(D12&gt;0,D49&gt;0),MIN(D15,CEILING(Inputs!D12/(D12*D49),1)),1))))),Inputs!D37)*10^9*Inputs!D54+(IF(AND(D12&gt;0,D49&gt;0),MIN(D15,CEILING(Inputs!D12/(D12*D49),1)),1))*D7*1024^3+Inputs!D72*1024^3)))*Inputs!D68))),0))),1),0))</f>
        <v/>
      </c>
      <c r="E50" s="4" t="inlineStr">
        <is>
          <t>pcs</t>
        </is>
      </c>
      <c r="F50" s="4" t="inlineStr">
        <is>
          <t>🔵 derived</t>
        </is>
      </c>
    </row>
    <row r="51">
      <c r="A51" s="8" t="inlineStr">
        <is>
          <t>Servers^(9)</t>
        </is>
      </c>
      <c r="B51" s="4" t="inlineStr">
        <is>
          <t>Итерация 9: max(Servers_mem, ⌈S_sim·R·K_SLA/(N·C^model(BS^9))⌉)</t>
        </is>
      </c>
      <c r="C51" s="4" t="inlineStr">
        <is>
          <t>calc</t>
        </is>
      </c>
      <c r="D51" s="12">
        <f>MAX(D22,IF(AND((IF(AND(D33&gt;0,((IF(Inputs!D66&gt;0,Inputs!D66,MIN(D26*Inputs!D62/(D25+4*Inputs!D38*Inputs!D39*(Inputs!D21+(Inputs!D22-1)/2))/(IF(AND(D12&gt;0,D50&gt;0),MIN(D15,CEILING(Inputs!D12/(D12*D50),1)),1)),Inputs!D28*10^9*Inputs!D63/(IF(Inputs!D52,(Inputs!D48+Inputs!D49*(1-POWER(1-Inputs!D50/Inputs!D51,(IF(AND(D12&gt;0,D50&gt;0),MIN(D15,CEILING(Inputs!D12/(D12*D50),1)),1))))),Inputs!D37)*10^9*Inputs!D54+(IF(AND(D12&gt;0,D50&gt;0),MIN(D15,CEILING(Inputs!D12/(D12*D50),1)),1))*D7*1024^3+Inputs!D72*1024^3)))*Inputs!D68))&gt;0),(IF(AND(D12&gt;0,D50&gt;0),MIN(D15,CEILING(Inputs!D12/(D12*D50),1)),1))/(D27/D33+Inputs!D22/((IF(Inputs!D66&gt;0,Inputs!D66,MIN(D26*Inputs!D62/(D25+4*Inputs!D38*Inputs!D39*(Inputs!D21+(Inputs!D22-1)/2))/(IF(AND(D12&gt;0,D50&gt;0),MIN(D15,CEILING(Inputs!D12/(D12*D50),1)),1)),Inputs!D28*10^9*Inputs!D63/(IF(Inputs!D52,(Inputs!D48+Inputs!D49*(1-POWER(1-Inputs!D50/Inputs!D51,(IF(AND(D12&gt;0,D50&gt;0),MIN(D15,CEILING(Inputs!D12/(D12*D50),1)),1))))),Inputs!D37)*10^9*Inputs!D54+(IF(AND(D12&gt;0,D50&gt;0),MIN(D15,CEILING(Inputs!D12/(D12*D50),1)),1))*D7*1024^3+Inputs!D72*1024^3)))*Inputs!D68))),0))&gt;0,D12&gt;0),CEILING(Inputs!D12*Inputs!D75*Inputs!D76/(D12*(IF(AND(D33&gt;0,((IF(Inputs!D66&gt;0,Inputs!D66,MIN(D26*Inputs!D62/(D25+4*Inputs!D38*Inputs!D39*(Inputs!D21+(Inputs!D22-1)/2))/(IF(AND(D12&gt;0,D50&gt;0),MIN(D15,CEILING(Inputs!D12/(D12*D50),1)),1)),Inputs!D28*10^9*Inputs!D63/(IF(Inputs!D52,(Inputs!D48+Inputs!D49*(1-POWER(1-Inputs!D50/Inputs!D51,(IF(AND(D12&gt;0,D50&gt;0),MIN(D15,CEILING(Inputs!D12/(D12*D50),1)),1))))),Inputs!D37)*10^9*Inputs!D54+(IF(AND(D12&gt;0,D50&gt;0),MIN(D15,CEILING(Inputs!D12/(D12*D50),1)),1))*D7*1024^3+Inputs!D72*1024^3)))*Inputs!D68))&gt;0),(IF(AND(D12&gt;0,D50&gt;0),MIN(D15,CEILING(Inputs!D12/(D12*D50),1)),1))/(D27/D33+Inputs!D22/((IF(Inputs!D66&gt;0,Inputs!D66,MIN(D26*Inputs!D62/(D25+4*Inputs!D38*Inputs!D39*(Inputs!D21+(Inputs!D22-1)/2))/(IF(AND(D12&gt;0,D50&gt;0),MIN(D15,CEILING(Inputs!D12/(D12*D50),1)),1)),Inputs!D28*10^9*Inputs!D63/(IF(Inputs!D52,(Inputs!D48+Inputs!D49*(1-POWER(1-Inputs!D50/Inputs!D51,(IF(AND(D12&gt;0,D50&gt;0),MIN(D15,CEILING(Inputs!D12/(D12*D50),1)),1))))),Inputs!D37)*10^9*Inputs!D54+(IF(AND(D12&gt;0,D50&gt;0),MIN(D15,CEILING(Inputs!D12/(D12*D50),1)),1))*D7*1024^3+Inputs!D72*1024^3)))*Inputs!D68))),0))),1),0))</f>
        <v/>
      </c>
      <c r="E51" s="4" t="inlineStr">
        <is>
          <t>pcs</t>
        </is>
      </c>
      <c r="F51" s="4" t="inlineStr">
        <is>
          <t>🔵 derived</t>
        </is>
      </c>
    </row>
    <row r="52">
      <c r="A52" s="8" t="inlineStr">
        <is>
          <t>Servers^(10)</t>
        </is>
      </c>
      <c r="B52" s="4" t="inlineStr">
        <is>
          <t>Итерация 10: max(Servers_mem, ⌈S_sim·R·K_SLA/(N·C^model(BS^10))⌉)</t>
        </is>
      </c>
      <c r="C52" s="4" t="inlineStr">
        <is>
          <t>calc</t>
        </is>
      </c>
      <c r="D52" s="17">
        <f>MAX(D22,IF(AND((IF(AND(D33&gt;0,((IF(Inputs!D66&gt;0,Inputs!D66,MIN(D26*Inputs!D62/(D25+4*Inputs!D38*Inputs!D39*(Inputs!D21+(Inputs!D22-1)/2))/(IF(AND(D12&gt;0,D51&gt;0),MIN(D15,CEILING(Inputs!D12/(D12*D51),1)),1)),Inputs!D28*10^9*Inputs!D63/(IF(Inputs!D52,(Inputs!D48+Inputs!D49*(1-POWER(1-Inputs!D50/Inputs!D51,(IF(AND(D12&gt;0,D51&gt;0),MIN(D15,CEILING(Inputs!D12/(D12*D51),1)),1))))),Inputs!D37)*10^9*Inputs!D54+(IF(AND(D12&gt;0,D51&gt;0),MIN(D15,CEILING(Inputs!D12/(D12*D51),1)),1))*D7*1024^3+Inputs!D72*1024^3)))*Inputs!D68))&gt;0),(IF(AND(D12&gt;0,D51&gt;0),MIN(D15,CEILING(Inputs!D12/(D12*D51),1)),1))/(D27/D33+Inputs!D22/((IF(Inputs!D66&gt;0,Inputs!D66,MIN(D26*Inputs!D62/(D25+4*Inputs!D38*Inputs!D39*(Inputs!D21+(Inputs!D22-1)/2))/(IF(AND(D12&gt;0,D51&gt;0),MIN(D15,CEILING(Inputs!D12/(D12*D51),1)),1)),Inputs!D28*10^9*Inputs!D63/(IF(Inputs!D52,(Inputs!D48+Inputs!D49*(1-POWER(1-Inputs!D50/Inputs!D51,(IF(AND(D12&gt;0,D51&gt;0),MIN(D15,CEILING(Inputs!D12/(D12*D51),1)),1))))),Inputs!D37)*10^9*Inputs!D54+(IF(AND(D12&gt;0,D51&gt;0),MIN(D15,CEILING(Inputs!D12/(D12*D51),1)),1))*D7*1024^3+Inputs!D72*1024^3)))*Inputs!D68))),0))&gt;0,D12&gt;0),CEILING(Inputs!D12*Inputs!D75*Inputs!D76/(D12*(IF(AND(D33&gt;0,((IF(Inputs!D66&gt;0,Inputs!D66,MIN(D26*Inputs!D62/(D25+4*Inputs!D38*Inputs!D39*(Inputs!D21+(Inputs!D22-1)/2))/(IF(AND(D12&gt;0,D51&gt;0),MIN(D15,CEILING(Inputs!D12/(D12*D51),1)),1)),Inputs!D28*10^9*Inputs!D63/(IF(Inputs!D52,(Inputs!D48+Inputs!D49*(1-POWER(1-Inputs!D50/Inputs!D51,(IF(AND(D12&gt;0,D51&gt;0),MIN(D15,CEILING(Inputs!D12/(D12*D51),1)),1))))),Inputs!D37)*10^9*Inputs!D54+(IF(AND(D12&gt;0,D51&gt;0),MIN(D15,CEILING(Inputs!D12/(D12*D51),1)),1))*D7*1024^3+Inputs!D72*1024^3)))*Inputs!D68))&gt;0),(IF(AND(D12&gt;0,D51&gt;0),MIN(D15,CEILING(Inputs!D12/(D12*D51),1)),1))/(D27/D33+Inputs!D22/((IF(Inputs!D66&gt;0,Inputs!D66,MIN(D26*Inputs!D62/(D25+4*Inputs!D38*Inputs!D39*(Inputs!D21+(Inputs!D22-1)/2))/(IF(AND(D12&gt;0,D51&gt;0),MIN(D15,CEILING(Inputs!D12/(D12*D51),1)),1)),Inputs!D28*10^9*Inputs!D63/(IF(Inputs!D52,(Inputs!D48+Inputs!D49*(1-POWER(1-Inputs!D50/Inputs!D51,(IF(AND(D12&gt;0,D51&gt;0),MIN(D15,CEILING(Inputs!D12/(D12*D51),1)),1))))),Inputs!D37)*10^9*Inputs!D54+(IF(AND(D12&gt;0,D51&gt;0),MIN(D15,CEILING(Inputs!D12/(D12*D51),1)),1))*D7*1024^3+Inputs!D72*1024^3)))*Inputs!D68))),0))),1),0))</f>
        <v/>
      </c>
      <c r="E52" s="4" t="inlineStr">
        <is>
          <t>pcs</t>
        </is>
      </c>
      <c r="F52" s="4" t="inlineStr">
        <is>
          <t>🔵 derived</t>
        </is>
      </c>
    </row>
    <row r="53">
      <c r="A53" s="8" t="inlineStr">
        <is>
          <t>Servers_comp^(10) (после итераций §6.4)</t>
        </is>
      </c>
      <c r="B53" s="4" t="inlineStr">
        <is>
          <t>Compute-bound оценка на сошедшейся итерации (без max с Servers_mem)</t>
        </is>
      </c>
      <c r="C53" s="4" t="inlineStr">
        <is>
          <t>calc</t>
        </is>
      </c>
      <c r="D53" s="17">
        <f>IF(AND((IF(AND(D33&gt;0,((IF(Inputs!D66&gt;0,Inputs!D66,MIN(D26*Inputs!D62/(D25+4*Inputs!D38*Inputs!D39*(Inputs!D21+(Inputs!D22-1)/2))/(IF(AND(D12&gt;0,D51&gt;0),MIN(D15,CEILING(Inputs!D12/(D12*D51),1)),1)),Inputs!D28*10^9*Inputs!D63/(IF(Inputs!D52,(Inputs!D48+Inputs!D49*(1-POWER(1-Inputs!D50/Inputs!D51,(IF(AND(D12&gt;0,D51&gt;0),MIN(D15,CEILING(Inputs!D12/(D12*D51),1)),1))))),Inputs!D37)*10^9*Inputs!D54+(IF(AND(D12&gt;0,D51&gt;0),MIN(D15,CEILING(Inputs!D12/(D12*D51),1)),1))*D7*1024^3+Inputs!D72*1024^3)))*Inputs!D68))&gt;0),(IF(AND(D12&gt;0,D51&gt;0),MIN(D15,CEILING(Inputs!D12/(D12*D51),1)),1))/(D27/D33+Inputs!D22/((IF(Inputs!D66&gt;0,Inputs!D66,MIN(D26*Inputs!D62/(D25+4*Inputs!D38*Inputs!D39*(Inputs!D21+(Inputs!D22-1)/2))/(IF(AND(D12&gt;0,D51&gt;0),MIN(D15,CEILING(Inputs!D12/(D12*D51),1)),1)),Inputs!D28*10^9*Inputs!D63/(IF(Inputs!D52,(Inputs!D48+Inputs!D49*(1-POWER(1-Inputs!D50/Inputs!D51,(IF(AND(D12&gt;0,D51&gt;0),MIN(D15,CEILING(Inputs!D12/(D12*D51),1)),1))))),Inputs!D37)*10^9*Inputs!D54+(IF(AND(D12&gt;0,D51&gt;0),MIN(D15,CEILING(Inputs!D12/(D12*D51),1)),1))*D7*1024^3+Inputs!D72*1024^3)))*Inputs!D68))),0))&gt;0,D12&gt;0),CEILING(Inputs!D12*Inputs!D75*Inputs!D76/(D12*(IF(AND(D33&gt;0,((IF(Inputs!D66&gt;0,Inputs!D66,MIN(D26*Inputs!D62/(D25+4*Inputs!D38*Inputs!D39*(Inputs!D21+(Inputs!D22-1)/2))/(IF(AND(D12&gt;0,D51&gt;0),MIN(D15,CEILING(Inputs!D12/(D12*D51),1)),1)),Inputs!D28*10^9*Inputs!D63/(IF(Inputs!D52,(Inputs!D48+Inputs!D49*(1-POWER(1-Inputs!D50/Inputs!D51,(IF(AND(D12&gt;0,D51&gt;0),MIN(D15,CEILING(Inputs!D12/(D12*D51),1)),1))))),Inputs!D37)*10^9*Inputs!D54+(IF(AND(D12&gt;0,D51&gt;0),MIN(D15,CEILING(Inputs!D12/(D12*D51),1)),1))*D7*1024^3+Inputs!D72*1024^3)))*Inputs!D68))&gt;0),(IF(AND(D12&gt;0,D51&gt;0),MIN(D15,CEILING(Inputs!D12/(D12*D51),1)),1))/(D27/D33+Inputs!D22/((IF(Inputs!D66&gt;0,Inputs!D66,MIN(D26*Inputs!D62/(D25+4*Inputs!D38*Inputs!D39*(Inputs!D21+(Inputs!D22-1)/2))/(IF(AND(D12&gt;0,D51&gt;0),MIN(D15,CEILING(Inputs!D12/(D12*D51),1)),1)),Inputs!D28*10^9*Inputs!D63/(IF(Inputs!D52,(Inputs!D48+Inputs!D49*(1-POWER(1-Inputs!D50/Inputs!D51,(IF(AND(D12&gt;0,D51&gt;0),MIN(D15,CEILING(Inputs!D12/(D12*D51),1)),1))))),Inputs!D37)*10^9*Inputs!D54+(IF(AND(D12&gt;0,D51&gt;0),MIN(D15,CEILING(Inputs!D12/(D12*D51),1)),1))*D7*1024^3+Inputs!D72*1024^3)))*Inputs!D68))),0))),1),0)</f>
        <v/>
      </c>
      <c r="E53" s="4" t="inlineStr">
        <is>
          <t>pcs</t>
        </is>
      </c>
      <c r="F53" s="4" t="inlineStr">
        <is>
          <t>🔵 derived</t>
        </is>
      </c>
    </row>
    <row r="54" ht="42" customHeight="1">
      <c r="A54" s="8" t="inlineStr">
        <is>
          <t>Сошлось? (|S¹⁰−S⁹|≤1 и |S⁹−S⁸|≤1)</t>
        </is>
      </c>
      <c r="B54" s="4" t="inlineStr">
        <is>
          <t>Если нет — возможна 2-цикл осцилляция; используйте Servers_override</t>
        </is>
      </c>
      <c r="C54" s="4" t="inlineStr">
        <is>
          <t>calc</t>
        </is>
      </c>
      <c r="D54" s="9">
        <f>IF(AND(ABS(D52-D51)&lt;=1,ABS(D51-D50)&lt;=1),"✓ OK: сошлось","⚠ ОСЦИЛЛЯЦИЯ: попробуйте Servers_override или Z")</f>
        <v/>
      </c>
      <c r="E54" s="4" t="inlineStr">
        <is>
          <t>status</t>
        </is>
      </c>
      <c r="F54" s="4" t="inlineStr">
        <is>
          <t>🔵 derived</t>
        </is>
      </c>
    </row>
    <row r="55">
      <c r="A55" s="8" t="inlineStr">
        <is>
          <t>BS_real (сошедшийся)</t>
        </is>
      </c>
      <c r="B55" s="4" t="inlineStr">
        <is>
          <t>BS при итоговом Servers^(10)</t>
        </is>
      </c>
      <c r="C55" s="4" t="inlineStr">
        <is>
          <t>calc</t>
        </is>
      </c>
      <c r="D55" s="17">
        <f>IF(AND(D12&gt;0,D52&gt;0),MIN(D15,CEILING(Inputs!D12/(D12*D52),1)),1)</f>
        <v/>
      </c>
      <c r="E55" s="4" t="inlineStr">
        <is>
          <t>sess.</t>
        </is>
      </c>
      <c r="F55" s="4" t="inlineStr">
        <is>
          <t>🟡 vLLM logs</t>
        </is>
      </c>
    </row>
    <row r="56">
      <c r="A56" s="8" t="inlineStr">
        <is>
          <t>Th_server^ceil (потолок decode-dominated)</t>
        </is>
      </c>
      <c r="B56" s="4" t="inlineStr">
        <is>
          <t>N_TP=Z · BW_GPU·10⁹·η_mem / (T_dec · M_KV·1024³)</t>
        </is>
      </c>
      <c r="C56" s="4" t="inlineStr">
        <is>
          <t>calc</t>
        </is>
      </c>
      <c r="D56" s="13">
        <f>IF(AND(Inputs!D22&gt;0,D7&gt;0),D12*Inputs!D28*10^9*Inputs!D63/(Inputs!D22*D7*1024^3),0)</f>
        <v/>
      </c>
      <c r="E56" s="4" t="inlineStr">
        <is>
          <t>req/s</t>
        </is>
      </c>
      <c r="F56" s="4" t="inlineStr">
        <is>
          <t>🔵 derived</t>
        </is>
      </c>
    </row>
    <row r="58">
      <c r="A58" s="5" t="inlineStr">
        <is>
          <t>7. Проверка TTFT и e2eLatency</t>
        </is>
      </c>
      <c r="B58" s="6" t="n"/>
      <c r="C58" s="6" t="n"/>
      <c r="D58" s="6" t="n"/>
      <c r="E58" s="6" t="n"/>
      <c r="F58" s="7" t="n"/>
    </row>
    <row r="59">
      <c r="A59" s="8" t="inlineStr">
        <is>
          <t>TTFT_analyt (время до первого токена)</t>
        </is>
      </c>
      <c r="B59" s="4" t="inlineStr">
        <is>
          <t>SL_pf^eff / Th_pf + 1/Th_dec + T_overhead</t>
        </is>
      </c>
      <c r="C59" s="4" t="inlineStr">
        <is>
          <t>calc</t>
        </is>
      </c>
      <c r="D59" s="14">
        <f>IF(AND(D33&gt;0,D38&gt;0),D27/D33+1/D38+Inputs!D71,0)</f>
        <v/>
      </c>
      <c r="E59" s="4" t="inlineStr">
        <is>
          <t>s</t>
        </is>
      </c>
      <c r="F59" s="4" t="inlineStr">
        <is>
          <t>🟢 EvalScope</t>
        </is>
      </c>
    </row>
    <row r="60">
      <c r="A60" s="8" t="inlineStr">
        <is>
          <t>GenerationTime_analyt (без учёта нагрузки)</t>
        </is>
      </c>
      <c r="B60" s="4" t="inlineStr">
        <is>
          <t>T_dec / Th_dec(BS_real)</t>
        </is>
      </c>
      <c r="C60" s="4" t="inlineStr">
        <is>
          <t>calc</t>
        </is>
      </c>
      <c r="D60" s="14">
        <f>IF(D38&gt;0,Inputs!D22/D38,0)</f>
        <v/>
      </c>
      <c r="E60" s="4" t="inlineStr">
        <is>
          <t>s</t>
        </is>
      </c>
      <c r="F60" s="4" t="inlineStr">
        <is>
          <t>🟢 EvalScope</t>
        </is>
      </c>
    </row>
    <row r="61">
      <c r="A61" s="8" t="inlineStr">
        <is>
          <t>e2eLatency_analyt (ненагруженная)</t>
        </is>
      </c>
      <c r="B61" s="4" t="inlineStr">
        <is>
          <t>TTFT + GenerationTime</t>
        </is>
      </c>
      <c r="C61" s="4" t="inlineStr">
        <is>
          <t>calc</t>
        </is>
      </c>
      <c r="D61" s="14">
        <f>D59+D60</f>
        <v/>
      </c>
      <c r="E61" s="4" t="inlineStr">
        <is>
          <t>s</t>
        </is>
      </c>
      <c r="F61" s="4" t="inlineStr">
        <is>
          <t>🟢 EvalScope</t>
        </is>
      </c>
    </row>
    <row r="62">
      <c r="A62" s="8" t="inlineStr">
        <is>
          <t>e2eLatency_load (под нагрузкой, закон Литтла)</t>
        </is>
      </c>
      <c r="B62" s="4" t="inlineStr">
        <is>
          <t>max(e2e_analyt, BS_real / C^model)</t>
        </is>
      </c>
      <c r="C62" s="4" t="inlineStr">
        <is>
          <t>calc</t>
        </is>
      </c>
      <c r="D62" s="14">
        <f>IF(D39&gt;0,MAX(D61,D28/D39),D61)</f>
        <v/>
      </c>
      <c r="E62" s="4" t="inlineStr">
        <is>
          <t>s</t>
        </is>
      </c>
      <c r="F62" s="4" t="inlineStr">
        <is>
          <t>🟢 EvalScope</t>
        </is>
      </c>
    </row>
    <row r="63" ht="42" customHeight="1">
      <c r="A63" s="8" t="inlineStr">
        <is>
          <t>Проверка TTFT_SLA</t>
        </is>
      </c>
      <c r="B63" s="4" t="inlineStr">
        <is>
          <t>TTFT_SLA ≥ TTFT_analyt ?</t>
        </is>
      </c>
      <c r="C63" s="4" t="inlineStr">
        <is>
          <t>calc</t>
        </is>
      </c>
      <c r="D63" s="11">
        <f>IF(Inputs!D77&gt;=D59,"✓ OK","✗ FAIL")</f>
        <v/>
      </c>
      <c r="E63" s="4" t="inlineStr">
        <is>
          <t>status</t>
        </is>
      </c>
      <c r="F63" s="4" t="inlineStr">
        <is>
          <t>🟢 deployment</t>
        </is>
      </c>
    </row>
    <row r="64" ht="42" customHeight="1">
      <c r="A64" s="8" t="inlineStr">
        <is>
          <t>Проверка e2eLatency_SLA</t>
        </is>
      </c>
      <c r="B64" s="4" t="inlineStr">
        <is>
          <t>e2eLatency_SLA ≥ e2eLatency_load ?</t>
        </is>
      </c>
      <c r="C64" s="4" t="inlineStr">
        <is>
          <t>calc</t>
        </is>
      </c>
      <c r="D64" s="11">
        <f>IF(Inputs!D78&gt;=D62,"✓ OK","✗ FAIL")</f>
        <v/>
      </c>
      <c r="E64" s="4" t="inlineStr">
        <is>
          <t>status</t>
        </is>
      </c>
      <c r="F64" s="4" t="inlineStr">
        <is>
          <t>🟢 deployment</t>
        </is>
      </c>
    </row>
    <row r="66">
      <c r="A66" s="5" t="inlineStr">
        <is>
          <t>8. Итоговое число серверов</t>
        </is>
      </c>
      <c r="B66" s="6" t="n"/>
      <c r="C66" s="6" t="n"/>
      <c r="D66" s="6" t="n"/>
      <c r="E66" s="6" t="n"/>
      <c r="F66" s="7" t="n"/>
    </row>
    <row r="67">
      <c r="A67" s="8" t="inlineStr">
        <is>
          <t>Серверов по расчёту (auto, сошедшийся)</t>
        </is>
      </c>
      <c r="B67" s="4" t="inlineStr">
        <is>
          <t>Servers^(6) из итеративного алгоритма §6.4</t>
        </is>
      </c>
      <c r="C67" s="4" t="inlineStr">
        <is>
          <t>calc</t>
        </is>
      </c>
      <c r="D67" s="12">
        <f>D52</f>
        <v/>
      </c>
      <c r="E67" s="4" t="inlineStr">
        <is>
          <t>pcs</t>
        </is>
      </c>
      <c r="F67" s="4" t="inlineStr">
        <is>
          <t>🟢 deployment</t>
        </is>
      </c>
    </row>
    <row r="68">
      <c r="A68" s="8" t="inlineStr">
        <is>
          <t>Итоговое число серверов (Servers_final)</t>
        </is>
      </c>
      <c r="B68" s="4" t="inlineStr">
        <is>
          <t>Servers_override (если задан) или auto</t>
        </is>
      </c>
      <c r="C68" s="4" t="inlineStr">
        <is>
          <t>calc</t>
        </is>
      </c>
      <c r="D68" s="17">
        <f>IF(Inputs!D32&gt;0,Inputs!D32,D67)</f>
        <v/>
      </c>
      <c r="E68" s="4" t="inlineStr">
        <is>
          <t>pcs</t>
        </is>
      </c>
      <c r="F68" s="4" t="inlineStr">
        <is>
          <t>🟢 deployment</t>
        </is>
      </c>
    </row>
    <row r="69">
      <c r="A69" s="8" t="inlineStr">
        <is>
          <t>Всего GPU (Servers × GPU/server)</t>
        </is>
      </c>
      <c r="C69" s="4" t="inlineStr">
        <is>
          <t>calc</t>
        </is>
      </c>
      <c r="D69" s="17">
        <f>D68*Inputs!D29</f>
        <v/>
      </c>
      <c r="E69" s="4" t="inlineStr">
        <is>
          <t>pcs</t>
        </is>
      </c>
      <c r="F69" s="4" t="inlineStr">
        <is>
          <t>🟢 deployment</t>
        </is>
      </c>
    </row>
    <row r="70">
      <c r="A70" s="8" t="inlineStr">
        <is>
          <t>BS_real при Servers_final (фактический батч)</t>
        </is>
      </c>
      <c r="B70" s="4" t="inlineStr">
        <is>
          <t>min(S_TP=Z, ⌈S_sim / (N_TP=Z · Servers_final)⌉) — уточнённая оценка</t>
        </is>
      </c>
      <c r="C70" s="4" t="inlineStr">
        <is>
          <t>calc</t>
        </is>
      </c>
      <c r="D70" s="17">
        <f>IF(AND(D12&gt;0,D68&gt;0),MIN(D15,CEILING(Inputs!D12/(D12*D68),1)),0)</f>
        <v/>
      </c>
      <c r="E70" s="4" t="inlineStr">
        <is>
          <t>sess.</t>
        </is>
      </c>
      <c r="F70" s="4" t="inlineStr">
        <is>
          <t>🟡 vLLM logs</t>
        </is>
      </c>
    </row>
    <row r="71">
      <c r="A71" s="8" t="inlineStr">
        <is>
          <t>Th_dec при финальном BS_real</t>
        </is>
      </c>
      <c r="B71" s="4" t="inlineStr">
        <is>
          <t>BW·10⁹·η_mem / (P_eff(BS)·B_quant·10⁹ + BS_real·M_KV·1024³ + O_fixed·1024³) · K_spec</t>
        </is>
      </c>
      <c r="C71" s="4" t="inlineStr">
        <is>
          <t>calc</t>
        </is>
      </c>
      <c r="D71" s="17">
        <f>IF(D70&gt;0,Inputs!D28*10^9*Inputs!D63/(IF(Inputs!D52,(Inputs!D48+Inputs!D49*(1-POWER(1-Inputs!D50/Inputs!D51,D70))),Inputs!D37)*10^9*Inputs!D54+D70*D7*1024^3+Inputs!D72*1024^3)*Inputs!D68,0)</f>
        <v/>
      </c>
      <c r="E71" s="4" t="inlineStr">
        <is>
          <t>tok/s/sess.</t>
        </is>
      </c>
      <c r="F71" s="4" t="inlineStr">
        <is>
          <t>🟢 EvalScope</t>
        </is>
      </c>
    </row>
    <row r="72">
      <c r="A72" s="8" t="inlineStr">
        <is>
          <t>e2eLatency при финальном BS_real</t>
        </is>
      </c>
      <c r="B72" s="4" t="inlineStr">
        <is>
          <t>TTFT + T_dec/Th_dec(BS_real_final) — фактическая задержка</t>
        </is>
      </c>
      <c r="C72" s="4" t="inlineStr">
        <is>
          <t>calc</t>
        </is>
      </c>
      <c r="D72" s="18">
        <f>IF(D71&gt;0,D59+Inputs!D22/D71,0)</f>
        <v/>
      </c>
      <c r="E72" s="4" t="inlineStr">
        <is>
          <t>s</t>
        </is>
      </c>
      <c r="F72" s="4" t="inlineStr">
        <is>
          <t>🟢 EvalScope</t>
        </is>
      </c>
    </row>
    <row r="73" ht="42" customHeight="1">
      <c r="A73" s="8" t="inlineStr">
        <is>
          <t>Финальная проверка SLA</t>
        </is>
      </c>
      <c r="B73" s="4" t="inlineStr">
        <is>
          <t>e2eLatency_SLA ≥ e2eLatency(BS_real_final)?</t>
        </is>
      </c>
      <c r="C73" s="4" t="inlineStr">
        <is>
          <t>calc</t>
        </is>
      </c>
      <c r="D73" s="9">
        <f>IF(Inputs!D78&gt;=D72,"✓ OK: конфигурация удовлетворяет SLA","✗ FAIL — см. Приложение Б: Б.1 увеличить Z, Б.2 квантизация (FP8/INT4), Б.3 сократить SL (SP/N_prp/Prp), Б.4 сократить T_dec (A/MRT), Б.5 меньшая модель, Б.6 лучший GPU, Б.7 смягчить SLA. Также: Servers_override &gt; "&amp;D67&amp;" для ручной проверки")</f>
        <v/>
      </c>
      <c r="E73" s="4" t="inlineStr">
        <is>
          <t>status</t>
        </is>
      </c>
      <c r="F73" s="4" t="inlineStr">
        <is>
          <t>🟢 deployment</t>
        </is>
      </c>
    </row>
    <row r="76">
      <c r="A76" s="5" t="inlineStr">
        <is>
          <t>📋 Валидация расчётных значений на реальном оборудовании</t>
        </is>
      </c>
      <c r="B76" s="6" t="n"/>
      <c r="C76" s="6" t="n"/>
      <c r="D76" s="6" t="n"/>
      <c r="E76" s="6" t="n"/>
      <c r="F76" s="7" t="n"/>
    </row>
    <row r="77">
      <c r="A77" s="4" t="inlineStr">
        <is>
          <t>Колонка «F» рядом с каждым значением показывает, КАК проверить число на реальной системе:</t>
        </is>
      </c>
    </row>
    <row r="78">
      <c r="A78" s="4" t="inlineStr">
        <is>
          <t xml:space="preserve">  🟢 EvalScope       — получено из нагрузочного теста (см. инструкции ниже)</t>
        </is>
      </c>
    </row>
    <row r="79">
      <c r="A79" s="4" t="inlineStr">
        <is>
          <t xml:space="preserve">  🟢 deployment      — проверяется при фактическом развёртывании (vLLM/SGLang)</t>
        </is>
      </c>
    </row>
    <row r="80">
      <c r="A80" s="4" t="inlineStr">
        <is>
          <t xml:space="preserve">  🟡 vLLM logs       — видно в логах инференс-движка (--log-stats)</t>
        </is>
      </c>
    </row>
    <row r="81">
      <c r="A81" s="4" t="inlineStr">
        <is>
          <t xml:space="preserve">  🟡 nvidia-smi      — проверяется через nvidia-smi / dcgm</t>
        </is>
      </c>
    </row>
    <row r="82">
      <c r="A82" s="4" t="inlineStr">
        <is>
          <t xml:space="preserve">  ⚪ derived / methodology / spec lookup — производные величины, не проверяются эмпирически</t>
        </is>
      </c>
    </row>
    <row r="83">
      <c r="A83" s="4" t="inlineStr"/>
    </row>
    <row r="84">
      <c r="A84" s="4" t="inlineStr">
        <is>
          <t>🔬 Процедура валидации через EvalScope (Прил. Е методологии):</t>
        </is>
      </c>
    </row>
    <row r="85">
      <c r="A85" s="4" t="inlineStr"/>
    </row>
    <row r="86">
      <c r="A86" s="4" t="inlineStr">
        <is>
          <t>ШАГ 1. Decode-heavy прогон (калибровка η_mem, см. §Е.1.1):</t>
        </is>
      </c>
    </row>
    <row r="87">
      <c r="A87" s="4" t="inlineStr">
        <is>
          <t xml:space="preserve">  evalscope perf --url http://localhost:8000/v1/chat/completions \</t>
        </is>
      </c>
    </row>
    <row r="88">
      <c r="A88" s="4" t="inlineStr">
        <is>
          <t xml:space="preserve">       --parallel 30  --number 30  --min-tokens 1000  --max-tokens 1000 \</t>
        </is>
      </c>
    </row>
    <row r="89">
      <c r="A89" s="4" t="inlineStr">
        <is>
          <t xml:space="preserve">       --min-prompt-length 400  --max-prompt-length 600  --dataset random</t>
        </is>
      </c>
    </row>
    <row r="90">
      <c r="A90" s="4" t="inlineStr">
        <is>
          <t xml:space="preserve">  Снимаемая метрика: Th_dec_observed = Output token throughput (tok/s, серверный агрегат).</t>
        </is>
      </c>
    </row>
    <row r="91">
      <c r="A91" s="4" t="inlineStr">
        <is>
          <t xml:space="preserve">  Сравнить с ячейкой «Th_dec (per-session)» × BS × N_TP=Z. Расхождение &gt;20% → пересчитать η_mem (§Е.2).</t>
        </is>
      </c>
    </row>
    <row r="92">
      <c r="A92" s="4" t="inlineStr"/>
    </row>
    <row r="93">
      <c r="A93" s="4" t="inlineStr">
        <is>
          <t>ШАГ 2. Prefill-heavy прогон (калибровка η_pf, см. §Е.1.2):</t>
        </is>
      </c>
    </row>
    <row r="94">
      <c r="A94" s="4" t="inlineStr">
        <is>
          <t xml:space="preserve">  evalscope perf --url http://localhost:8000/v1/chat/completions \</t>
        </is>
      </c>
    </row>
    <row r="95">
      <c r="A95" s="4" t="inlineStr">
        <is>
          <t xml:space="preserve">       --parallel 30  --number 30  --min-tokens 1  --max-tokens 1 \</t>
        </is>
      </c>
    </row>
    <row r="96">
      <c r="A96" s="4" t="inlineStr">
        <is>
          <t xml:space="preserve">       --min-prompt-length 7000  --max-prompt-length 9000  --dataset random</t>
        </is>
      </c>
    </row>
    <row r="97">
      <c r="A97" s="4" t="inlineStr">
        <is>
          <t xml:space="preserve">  Снимаемая метрика: Th_pf_observed = (Total throughput − Output throughput).</t>
        </is>
      </c>
    </row>
    <row r="98">
      <c r="A98" s="4" t="inlineStr">
        <is>
          <t xml:space="preserve">  Сравнить с ячейкой «Th_pf (per-session)» × BS × N_TP=Z. Расхождение &gt;20% → пересчитать η_pf (§Е.3).</t>
        </is>
      </c>
    </row>
    <row r="99">
      <c r="A99" s="4" t="inlineStr"/>
    </row>
    <row r="100">
      <c r="A100" s="4" t="inlineStr">
        <is>
          <t>ШАГ 3. Проверка по закону Литтла (§Е.4):</t>
        </is>
      </c>
    </row>
    <row r="101">
      <c r="A101" s="4" t="inlineStr">
        <is>
          <t xml:space="preserve">  Должно выполняться: BS ≈ λ · W_mean (где λ — RPS, W_mean — средняя end-to-end задержка).</t>
        </is>
      </c>
    </row>
    <row r="102">
      <c r="A102" s="4" t="inlineStr">
        <is>
          <t xml:space="preserve">  Погрешность &gt;10% указывает на некорректную постановку теста.</t>
        </is>
      </c>
    </row>
    <row r="103">
      <c r="A103" s="4" t="inlineStr"/>
    </row>
    <row r="104">
      <c r="A104" s="4" t="inlineStr">
        <is>
          <t>ШАГ 4. Если η_mem или η_pf отличаются от дефолтов — ввести откалиброванные значения</t>
        </is>
      </c>
    </row>
    <row r="105">
      <c r="A105" s="4" t="inlineStr">
        <is>
          <t xml:space="preserve">  в Inputs!η_mem и Inputs!η_pf, пересчитать Sizing. Затем повторить Шаги 1–2 для валидации.</t>
        </is>
      </c>
    </row>
    <row r="106">
      <c r="A106" s="4" t="inlineStr"/>
    </row>
    <row r="107">
      <c r="A107" s="4" t="inlineStr">
        <is>
          <t>Альтернативы EvalScope (эквивалентная методика, см. Прил. Е.8):</t>
        </is>
      </c>
    </row>
    <row r="108">
      <c r="A108" s="4" t="inlineStr">
        <is>
          <t xml:space="preserve">  • NVIDIA GenAI-Perf (для NIM/TensorRT-LLM эндпоинтов)</t>
        </is>
      </c>
    </row>
    <row r="109">
      <c r="A109" s="4" t="inlineStr">
        <is>
          <t xml:space="preserve">  • vllm_benchmarks/benchmark_serving.py (из репозитория vllm-project/vllm)</t>
        </is>
      </c>
    </row>
    <row r="110">
      <c r="A110" s="4" t="inlineStr">
        <is>
          <t xml:space="preserve">  • sglang/bench_serving.py (из репозитория sgl-project/sglang)</t>
        </is>
      </c>
    </row>
  </sheetData>
  <mergeCells count="43">
    <mergeCell ref="A99:F99"/>
    <mergeCell ref="A84:F84"/>
    <mergeCell ref="A90:F90"/>
    <mergeCell ref="A66:F66"/>
    <mergeCell ref="A108:F108"/>
    <mergeCell ref="A80:F80"/>
    <mergeCell ref="A89:F89"/>
    <mergeCell ref="A105:F105"/>
    <mergeCell ref="A101:F101"/>
    <mergeCell ref="A86:F86"/>
    <mergeCell ref="A104:F104"/>
    <mergeCell ref="A95:F95"/>
    <mergeCell ref="A85:F85"/>
    <mergeCell ref="A42:F42"/>
    <mergeCell ref="A76:F76"/>
    <mergeCell ref="A106:F106"/>
    <mergeCell ref="A97:F97"/>
    <mergeCell ref="A4:F4"/>
    <mergeCell ref="A100:F100"/>
    <mergeCell ref="A20:F20"/>
    <mergeCell ref="A96:F96"/>
    <mergeCell ref="A91:F91"/>
    <mergeCell ref="A109:F109"/>
    <mergeCell ref="A81:F81"/>
    <mergeCell ref="A93:F93"/>
    <mergeCell ref="A102:F102"/>
    <mergeCell ref="A9:F9"/>
    <mergeCell ref="A58:F58"/>
    <mergeCell ref="A83:F83"/>
    <mergeCell ref="A92:F92"/>
    <mergeCell ref="A77:F77"/>
    <mergeCell ref="A24:F24"/>
    <mergeCell ref="A107:F107"/>
    <mergeCell ref="A82:F82"/>
    <mergeCell ref="A98:F98"/>
    <mergeCell ref="A1:F1"/>
    <mergeCell ref="A94:F94"/>
    <mergeCell ref="A103:F103"/>
    <mergeCell ref="A79:F79"/>
    <mergeCell ref="A110:F110"/>
    <mergeCell ref="A88:F88"/>
    <mergeCell ref="A78:F78"/>
    <mergeCell ref="A87:F87"/>
  </mergeCells>
  <conditionalFormatting sqref="D4:D2000">
    <cfRule type="expression" priority="1" dxfId="0">
      <formula>ISNUMBER(SEARCH("✓",D4))</formula>
    </cfRule>
    <cfRule type="expression" priority="2" dxfId="1">
      <formula>ISNUMBER(SEARCH("✗",D4))</formula>
    </cfRule>
    <cfRule type="expression" priority="3" dxfId="2">
      <formula>ISNUMBER(SEARCH("⚠",D4))</formula>
    </cfRule>
  </conditionalFormatting>
  <printOptions horizontalCentered="1"/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74"/>
  <sheetViews>
    <sheetView workbookViewId="0">
      <selection activeCell="A1" sqref="A1"/>
    </sheetView>
  </sheetViews>
  <sheetFormatPr baseColWidth="8" defaultRowHeight="15"/>
  <cols>
    <col width="48" customWidth="1" min="1" max="1"/>
    <col width="62" customWidth="1" min="2" max="2"/>
    <col width="11" customWidth="1" min="3" max="3"/>
    <col width="18" customWidth="1" min="4" max="4"/>
    <col width="10" customWidth="1" min="5" max="5"/>
  </cols>
  <sheetData>
    <row r="1">
      <c r="A1" s="1" t="inlineStr">
        <is>
          <t>Агентные архитектуры — учёт K_calls, RAG, tool-use (Прил. В)</t>
        </is>
      </c>
    </row>
    <row r="2">
      <c r="A2" s="2" t="inlineStr">
        <is>
          <t>Ввод (INPUT)</t>
        </is>
      </c>
      <c r="B2" s="3" t="inlineStr">
        <is>
          <t>Расчёт / Итог (bold)</t>
        </is>
      </c>
      <c r="C2" s="4" t="inlineStr">
        <is>
          <t>→ перенос в Inputs</t>
        </is>
      </c>
    </row>
    <row r="4">
      <c r="A4" s="4" t="inlineStr">
        <is>
          <t>Расширение базовой токеновой модели для агентных сценариев (ReAct, RAG, CoT, multi-agent). Лист рассчитывает ЭФФЕКТИВНЫЕ параметры при K_calls &gt; 1.</t>
        </is>
      </c>
    </row>
    <row r="5">
      <c r="A5" s="5" t="inlineStr">
        <is>
          <t>📋 Как пользоваться этим листом</t>
        </is>
      </c>
      <c r="B5" s="6" t="n"/>
      <c r="C5" s="6" t="n"/>
      <c r="D5" s="6" t="n"/>
      <c r="E5" s="7" t="n"/>
    </row>
    <row r="6">
      <c r="A6" s="4" t="inlineStr">
        <is>
          <t>1. Заполните 5 синих (INPUT) ячеек ниже — параметры агентной архитектуры.</t>
        </is>
      </c>
    </row>
    <row r="7">
      <c r="A7" s="4" t="inlineStr">
        <is>
          <t>2. Калькулятор вычислит ЭФФЕКТИВНЫЕ значения SP_eff, Prp_eff, A_eff, MRT_eff, R_eff.</t>
        </is>
      </c>
    </row>
    <row r="8">
      <c r="A8" s="4" t="inlineStr">
        <is>
          <t>3. Перенесите 5 ЭФФЕКТИВНЫХ значений обратно в Inputs (заменят исходные):</t>
        </is>
      </c>
    </row>
    <row r="9">
      <c r="A9" s="4" t="inlineStr">
        <is>
          <t xml:space="preserve">   • SP_eff   → Inputs!SP   (системный промпт, увеличенный на SP_tools)</t>
        </is>
      </c>
    </row>
    <row r="10">
      <c r="A10" s="4" t="inlineStr">
        <is>
          <t xml:space="preserve">   • Prp_eff  → Inputs!Prp  (запрос, увеличенный на C_rag)</t>
        </is>
      </c>
    </row>
    <row r="11">
      <c r="A11" s="4" t="inlineStr">
        <is>
          <t xml:space="preserve">   • A_eff    → Inputs!A    (ответ, увеличенный на A_tool)</t>
        </is>
      </c>
    </row>
    <row r="12">
      <c r="A12" s="4" t="inlineStr">
        <is>
          <t xml:space="preserve">   • MRT_eff  → Inputs!MRT  (reasoning — max(MRT, reason_MRT))</t>
        </is>
      </c>
    </row>
    <row r="13">
      <c r="A13" s="4" t="inlineStr">
        <is>
          <t xml:space="preserve">   • R_eff    → Inputs!R    (частота запросов, умноженная на K_calls)</t>
        </is>
      </c>
    </row>
    <row r="14">
      <c r="A14" s="4" t="inlineStr">
        <is>
          <t>4. Пересчитайте сайзинг — учёт агентной нагрузки применится автоматически:</t>
        </is>
      </c>
    </row>
    <row r="15">
      <c r="A15" s="4" t="inlineStr">
        <is>
          <t xml:space="preserve">   SL_raw = SP_eff + N_prp · (Prp_eff + MRT_eff + A_eff) вычислится на листе Inputs.</t>
        </is>
      </c>
    </row>
    <row r="16">
      <c r="A16" s="4" t="inlineStr"/>
    </row>
    <row r="17">
      <c r="A17" s="4" t="inlineStr">
        <is>
          <t>💡 Single-turn (K_calls=1, SP_tools=0, C_rag=0, A_tool=0, reason_MRT=0):</t>
        </is>
      </c>
    </row>
    <row r="18">
      <c r="A18" s="4" t="inlineStr">
        <is>
          <t xml:space="preserve">   эффективные значения = исходные, сайзинг не меняется.</t>
        </is>
      </c>
    </row>
    <row r="19">
      <c r="A19" s="4" t="inlineStr">
        <is>
          <t>💡 TS_agent и SL_peak показаны СПРАВОЧНО — не переносятся в Inputs напрямую.</t>
        </is>
      </c>
    </row>
    <row r="20">
      <c r="A20" s="4" t="inlineStr">
        <is>
          <t xml:space="preserve">   Основной сайзинг использует SL_raw = f(SP_eff, Prp_eff, A_eff, MRT_eff, N_prp).</t>
        </is>
      </c>
    </row>
    <row r="22">
      <c r="A22" s="5" t="inlineStr">
        <is>
          <t>Архитектурный паттерн (Приложение В.6)</t>
        </is>
      </c>
      <c r="B22" s="6" t="n"/>
      <c r="C22" s="6" t="n"/>
      <c r="D22" s="6" t="n"/>
      <c r="E22" s="7" t="n"/>
    </row>
    <row r="23">
      <c r="A23" s="8" t="inlineStr">
        <is>
          <t>K_calls (LLM-вызовов на запрос)</t>
        </is>
      </c>
      <c r="B23" s="4" t="inlineStr">
        <is>
          <t>Single-turn=1; RAG=1-2; ReAct=3-10; Multi-agent=6-20+</t>
        </is>
      </c>
      <c r="C23" s="4" t="inlineStr">
        <is>
          <t>INPUT</t>
        </is>
      </c>
      <c r="D23" s="20" t="n">
        <v>1</v>
      </c>
      <c r="E23" s="4" t="inlineStr">
        <is>
          <t>pcs</t>
        </is>
      </c>
    </row>
    <row r="24">
      <c r="A24" s="8" t="inlineStr">
        <is>
          <t>SP_tools (токенов на tool definitions)</t>
        </is>
      </c>
      <c r="B24" s="4" t="inlineStr">
        <is>
          <t>0-500 для простых; 500-2000 для ReAct; 1-3K для coding-agent</t>
        </is>
      </c>
      <c r="C24" s="4" t="inlineStr">
        <is>
          <t>INPUT</t>
        </is>
      </c>
      <c r="D24" s="20" t="n">
        <v>0</v>
      </c>
      <c r="E24" s="4" t="inlineStr">
        <is>
          <t>tokens</t>
        </is>
      </c>
    </row>
    <row r="25">
      <c r="A25" s="8" t="inlineStr">
        <is>
          <t>C_rag (токенов RAG-контекста на вызов)</t>
        </is>
      </c>
      <c r="B25" s="4" t="inlineStr">
        <is>
          <t>0; RAG: 1-5K; Agentic RAG: 1-5K × N_поисков</t>
        </is>
      </c>
      <c r="C25" s="4" t="inlineStr">
        <is>
          <t>INPUT</t>
        </is>
      </c>
      <c r="D25" s="20" t="n">
        <v>0</v>
      </c>
      <c r="E25" s="4" t="inlineStr">
        <is>
          <t>tokens</t>
        </is>
      </c>
    </row>
    <row r="26">
      <c r="A26" s="8" t="inlineStr">
        <is>
          <t>A_tool (токенов tool_call JSON в ответе)</t>
        </is>
      </c>
      <c r="B26" s="4" t="inlineStr">
        <is>
          <t>50-200 для function-calling, 200-500 для coding</t>
        </is>
      </c>
      <c r="C26" s="4" t="inlineStr">
        <is>
          <t>INPUT</t>
        </is>
      </c>
      <c r="D26" s="20" t="n">
        <v>0</v>
      </c>
      <c r="E26" s="4" t="inlineStr">
        <is>
          <t>tokens</t>
        </is>
      </c>
    </row>
    <row r="27">
      <c r="A27" s="8" t="inlineStr">
        <is>
          <t>MRT для reasoning-моделей</t>
        </is>
      </c>
      <c r="B27" s="4" t="inlineStr">
        <is>
          <t>o1/R1: 8-25K thinking tokens на запрос</t>
        </is>
      </c>
      <c r="C27" s="4" t="inlineStr">
        <is>
          <t>INPUT</t>
        </is>
      </c>
      <c r="D27" s="20" t="n">
        <v>0</v>
      </c>
      <c r="E27" s="4" t="inlineStr">
        <is>
          <t>tokens</t>
        </is>
      </c>
    </row>
    <row r="29">
      <c r="A29" s="5" t="inlineStr">
        <is>
          <t>Эффективные параметры (В.1-В.4)</t>
        </is>
      </c>
      <c r="B29" s="6" t="n"/>
      <c r="C29" s="6" t="n"/>
      <c r="D29" s="6" t="n"/>
      <c r="E29" s="7" t="n"/>
    </row>
    <row r="30">
      <c r="A30" s="8" t="inlineStr">
        <is>
          <t>SP_eff = SP + SP_tools</t>
        </is>
      </c>
      <c r="B30" s="4" t="inlineStr">
        <is>
          <t>Увеличенный системный промпт</t>
        </is>
      </c>
      <c r="C30" s="4" t="inlineStr">
        <is>
          <t>calc</t>
        </is>
      </c>
      <c r="D30" s="12">
        <f>Inputs!D15+D24</f>
        <v/>
      </c>
      <c r="E30" s="4" t="inlineStr">
        <is>
          <t>tokens</t>
        </is>
      </c>
    </row>
    <row r="31">
      <c r="A31" s="8" t="inlineStr">
        <is>
          <t>Prp_eff = Prp + C_rag</t>
        </is>
      </c>
      <c r="B31" s="4" t="inlineStr">
        <is>
          <t>Запрос с RAG-контекстом</t>
        </is>
      </c>
      <c r="C31" s="4" t="inlineStr">
        <is>
          <t>calc</t>
        </is>
      </c>
      <c r="D31" s="12">
        <f>Inputs!D16+D25</f>
        <v/>
      </c>
      <c r="E31" s="4" t="inlineStr">
        <is>
          <t>tokens</t>
        </is>
      </c>
    </row>
    <row r="32">
      <c r="A32" s="8" t="inlineStr">
        <is>
          <t>A_eff = A + A_tool</t>
        </is>
      </c>
      <c r="B32" s="4" t="inlineStr">
        <is>
          <t>Ответ с tool_call JSON</t>
        </is>
      </c>
      <c r="C32" s="4" t="inlineStr">
        <is>
          <t>calc</t>
        </is>
      </c>
      <c r="D32" s="12">
        <f>Inputs!D17+D26</f>
        <v/>
      </c>
      <c r="E32" s="4" t="inlineStr">
        <is>
          <t>tokens</t>
        </is>
      </c>
    </row>
    <row r="33">
      <c r="A33" s="8" t="inlineStr">
        <is>
          <t>MRT_eff = max(MRT, reason_MRT)</t>
        </is>
      </c>
      <c r="B33" s="4" t="inlineStr">
        <is>
          <t>Берётся больший из базового и reasoning</t>
        </is>
      </c>
      <c r="C33" s="4" t="inlineStr">
        <is>
          <t>calc</t>
        </is>
      </c>
      <c r="D33" s="12">
        <f>MAX(Inputs!D18,D27)</f>
        <v/>
      </c>
      <c r="E33" s="4" t="inlineStr">
        <is>
          <t>tokens</t>
        </is>
      </c>
    </row>
    <row r="34">
      <c r="A34" s="8" t="inlineStr">
        <is>
          <t>TS_agent (полная длина сессии, В.4)</t>
        </is>
      </c>
      <c r="B34" s="4" t="inlineStr">
        <is>
          <t>SP_eff + N_prp · K_calls · (Prp_eff + MRT_eff + A_eff)</t>
        </is>
      </c>
      <c r="C34" s="4" t="inlineStr">
        <is>
          <t>calc</t>
        </is>
      </c>
      <c r="D34" s="17">
        <f>D30+Inputs!D19*D23*(D31+D33+D32)</f>
        <v/>
      </c>
      <c r="E34" s="4" t="inlineStr">
        <is>
          <t>tokens</t>
        </is>
      </c>
    </row>
    <row r="35">
      <c r="A35" s="8" t="inlineStr">
        <is>
          <t>SL_peak (пик ОДНОГО вызова — для KV)</t>
        </is>
      </c>
      <c r="B35" s="4" t="inlineStr">
        <is>
          <t>SP_eff + (K_calls − 1) · A_eff</t>
        </is>
      </c>
      <c r="C35" s="4" t="inlineStr">
        <is>
          <t>calc</t>
        </is>
      </c>
      <c r="D35" s="17">
        <f>D30+MAX(0,D23-1)*D32</f>
        <v/>
      </c>
      <c r="E35" s="4" t="inlineStr">
        <is>
          <t>tokens</t>
        </is>
      </c>
    </row>
    <row r="36">
      <c r="A36" s="8" t="inlineStr">
        <is>
          <t>T_in_total (совокупные токены за n вызовов)</t>
        </is>
      </c>
      <c r="B36" s="4" t="inlineStr">
        <is>
          <t>n·C_sys + n(n-1)/2·s — для биллинга, не для KV</t>
        </is>
      </c>
      <c r="C36" s="4" t="inlineStr">
        <is>
          <t>calc</t>
        </is>
      </c>
      <c r="D36" s="12">
        <f>D23*D30+D23*(D23-1)/2*D32</f>
        <v/>
      </c>
      <c r="E36" s="4" t="inlineStr">
        <is>
          <t>tokens</t>
        </is>
      </c>
    </row>
    <row r="38">
      <c r="A38" s="5" t="inlineStr">
        <is>
          <t>🎯 Куда применить: 5 значений для переноса в Inputs</t>
        </is>
      </c>
      <c r="B38" s="6" t="n"/>
      <c r="C38" s="6" t="n"/>
      <c r="D38" s="6" t="n"/>
      <c r="E38" s="7" t="n"/>
    </row>
    <row r="39">
      <c r="A39" s="8" t="inlineStr">
        <is>
          <t>SP_eff → перенести в Inputs!SP</t>
        </is>
      </c>
      <c r="B39" s="4" t="inlineStr">
        <is>
          <t>Замените SP на листе Inputs этим значением</t>
        </is>
      </c>
      <c r="C39" s="4" t="inlineStr">
        <is>
          <t>calc</t>
        </is>
      </c>
      <c r="D39" s="17">
        <f>D30</f>
        <v/>
      </c>
      <c r="E39" s="4" t="inlineStr">
        <is>
          <t>tokens</t>
        </is>
      </c>
    </row>
    <row r="40">
      <c r="A40" s="8" t="inlineStr">
        <is>
          <t>Prp_eff → перенести в Inputs!Prp</t>
        </is>
      </c>
      <c r="B40" s="4" t="inlineStr">
        <is>
          <t>Замените Prp на листе Inputs этим значением</t>
        </is>
      </c>
      <c r="C40" s="4" t="inlineStr">
        <is>
          <t>calc</t>
        </is>
      </c>
      <c r="D40" s="17">
        <f>D31</f>
        <v/>
      </c>
      <c r="E40" s="4" t="inlineStr">
        <is>
          <t>tokens</t>
        </is>
      </c>
    </row>
    <row r="41">
      <c r="A41" s="8" t="inlineStr">
        <is>
          <t>A_eff → перенести в Inputs!A</t>
        </is>
      </c>
      <c r="B41" s="4" t="inlineStr">
        <is>
          <t>Замените A на листе Inputs этим значением</t>
        </is>
      </c>
      <c r="C41" s="4" t="inlineStr">
        <is>
          <t>calc</t>
        </is>
      </c>
      <c r="D41" s="17">
        <f>D32</f>
        <v/>
      </c>
      <c r="E41" s="4" t="inlineStr">
        <is>
          <t>tokens</t>
        </is>
      </c>
    </row>
    <row r="42">
      <c r="A42" s="8" t="inlineStr">
        <is>
          <t>MRT_eff → перенести в Inputs!MRT</t>
        </is>
      </c>
      <c r="B42" s="4" t="inlineStr">
        <is>
          <t>Замените MRT на листе Inputs этим значением</t>
        </is>
      </c>
      <c r="C42" s="4" t="inlineStr">
        <is>
          <t>calc</t>
        </is>
      </c>
      <c r="D42" s="17">
        <f>D33</f>
        <v/>
      </c>
      <c r="E42" s="4" t="inlineStr">
        <is>
          <t>tokens</t>
        </is>
      </c>
    </row>
    <row r="43">
      <c r="A43" s="8" t="inlineStr">
        <is>
          <t>R_eff → перенести в Inputs!R</t>
        </is>
      </c>
      <c r="B43" s="4" t="inlineStr">
        <is>
          <t>R · K_calls — замените R на листе Inputs этим значением</t>
        </is>
      </c>
      <c r="C43" s="4" t="inlineStr">
        <is>
          <t>calc</t>
        </is>
      </c>
      <c r="D43" s="25">
        <f>Inputs!D75*D23</f>
        <v/>
      </c>
      <c r="E43" s="4" t="inlineStr">
        <is>
          <t>req/s</t>
        </is>
      </c>
    </row>
    <row r="45">
      <c r="A45" s="5" t="inlineStr">
        <is>
          <t>📎 Справочно (не переносится в Inputs)</t>
        </is>
      </c>
      <c r="B45" s="6" t="n"/>
      <c r="C45" s="6" t="n"/>
      <c r="D45" s="6" t="n"/>
      <c r="E45" s="7" t="n"/>
    </row>
    <row r="46">
      <c r="A46" s="8" t="inlineStr">
        <is>
          <t>SL_peak (пик контекста одного вызова)</t>
        </is>
      </c>
      <c r="B46" s="4" t="inlineStr">
        <is>
          <t>Учтётся автоматически: SL_raw = SP_eff + N_prp·(Prp_eff + MRT_eff + A_eff)</t>
        </is>
      </c>
      <c r="C46" s="4" t="inlineStr">
        <is>
          <t>calc</t>
        </is>
      </c>
      <c r="D46" s="12">
        <f>D35</f>
        <v/>
      </c>
      <c r="E46" s="4" t="inlineStr">
        <is>
          <t>tokens</t>
        </is>
      </c>
    </row>
    <row r="47">
      <c r="A47" s="8" t="inlineStr">
        <is>
          <t>TS_agent (полная длина сессии)</t>
        </is>
      </c>
      <c r="B47" s="4" t="inlineStr">
        <is>
          <t>Оценка стоимости сессии — для биллинга и capacity planning</t>
        </is>
      </c>
      <c r="C47" s="4" t="inlineStr">
        <is>
          <t>calc</t>
        </is>
      </c>
      <c r="D47" s="12">
        <f>D34</f>
        <v/>
      </c>
      <c r="E47" s="4" t="inlineStr">
        <is>
          <t>tokens</t>
        </is>
      </c>
    </row>
    <row r="48">
      <c r="A48" s="4" t="inlineStr">
        <is>
          <t>⚠️ ВАЖНО: пока вы не перенесёте 5 значений (SP_eff, Prp_eff, A_eff, MRT_eff, R_eff) в Inputs, основной расчёт НЕ учитывает агентную нагрузку!</t>
        </is>
      </c>
    </row>
    <row r="50">
      <c r="A50" s="5" t="inlineStr">
        <is>
          <t>Пример применения</t>
        </is>
      </c>
      <c r="B50" s="6" t="n"/>
      <c r="C50" s="6" t="n"/>
      <c r="D50" s="6" t="n"/>
      <c r="E50" s="7" t="n"/>
    </row>
    <row r="51">
      <c r="A51" s="4" t="inlineStr">
        <is>
          <t>Допустим, у вас ReAct-агент: K_calls=5, SP_tools=1500, C_rag=2000, A_tool=150, reason_MRT=0.</t>
        </is>
      </c>
    </row>
    <row r="52">
      <c r="A52" s="4" t="inlineStr">
        <is>
          <t>Лист рассчитает: SP_eff=2500, Prp_eff=2200, A_eff=550, MRT_eff=0, R_eff=R·5.</t>
        </is>
      </c>
    </row>
    <row r="53">
      <c r="A53" s="4" t="inlineStr">
        <is>
          <t>Перенесите все 5 значений в Inputs (замените исходные):</t>
        </is>
      </c>
    </row>
    <row r="54">
      <c r="A54" s="4" t="inlineStr">
        <is>
          <t xml:space="preserve">  1. Inputs!SP:  1000 → 2500 (= SP_eff)</t>
        </is>
      </c>
    </row>
    <row r="55">
      <c r="A55" s="4" t="inlineStr">
        <is>
          <t xml:space="preserve">  2. Inputs!Prp:  200 → 2200 (= Prp_eff)</t>
        </is>
      </c>
    </row>
    <row r="56">
      <c r="A56" s="4" t="inlineStr">
        <is>
          <t xml:space="preserve">  3. Inputs!A:    400 → 550  (= A_eff)</t>
        </is>
      </c>
    </row>
    <row r="57">
      <c r="A57" s="4" t="inlineStr">
        <is>
          <t xml:space="preserve">  4. Inputs!MRT:    0 → 0    (= MRT_eff, без изменений в этом примере)</t>
        </is>
      </c>
    </row>
    <row r="58">
      <c r="A58" s="4" t="inlineStr">
        <is>
          <t xml:space="preserve">  5. Inputs!R:   0.02 → 0.10 (= R_eff = 0.02 · 5)</t>
        </is>
      </c>
    </row>
    <row r="59">
      <c r="A59" s="4" t="inlineStr">
        <is>
          <t>После этого SL_raw автоматически пересчитается = 2500 + 5·(2200+0+550) = 16250 токенов,</t>
        </is>
      </c>
    </row>
    <row r="60">
      <c r="A60" s="4" t="inlineStr">
        <is>
          <t>и основной сайзинг учтёт рост KV-кэша и compute-нагрузки.</t>
        </is>
      </c>
    </row>
    <row r="62">
      <c r="A62" s="5" t="inlineStr">
        <is>
          <t>Справка: типовые паттерны (Таблица В.1)</t>
        </is>
      </c>
      <c r="B62" s="6" t="n"/>
      <c r="C62" s="6" t="n"/>
      <c r="D62" s="6" t="n"/>
      <c r="E62" s="7" t="n"/>
    </row>
    <row r="63">
      <c r="A63" s="5" t="inlineStr">
        <is>
          <t>Паттерн</t>
        </is>
      </c>
      <c r="B63" s="5" t="inlineStr">
        <is>
          <t>K_calls</t>
        </is>
      </c>
      <c r="C63" s="5" t="inlineStr">
        <is>
          <t>SP_tools</t>
        </is>
      </c>
      <c r="D63" s="5" t="inlineStr">
        <is>
          <t>C_rag</t>
        </is>
      </c>
      <c r="E63" s="5" t="inlineStr">
        <is>
          <t>A_tool</t>
        </is>
      </c>
    </row>
    <row r="64">
      <c r="A64" s="8" t="inlineStr">
        <is>
          <t>Single-turn чат</t>
        </is>
      </c>
      <c r="B64" s="8" t="inlineStr">
        <is>
          <t>1</t>
        </is>
      </c>
      <c r="C64" s="8" t="inlineStr">
        <is>
          <t>0</t>
        </is>
      </c>
      <c r="D64" s="8" t="inlineStr">
        <is>
          <t>0</t>
        </is>
      </c>
      <c r="E64" s="8" t="inlineStr">
        <is>
          <t>0</t>
        </is>
      </c>
    </row>
    <row r="65">
      <c r="A65" s="8" t="inlineStr">
        <is>
          <t>RAG</t>
        </is>
      </c>
      <c r="B65" s="8" t="inlineStr">
        <is>
          <t>1–2</t>
        </is>
      </c>
      <c r="C65" s="8" t="inlineStr">
        <is>
          <t>0–200</t>
        </is>
      </c>
      <c r="D65" s="8" t="inlineStr">
        <is>
          <t>1–5K</t>
        </is>
      </c>
      <c r="E65" s="8" t="inlineStr">
        <is>
          <t>0</t>
        </is>
      </c>
    </row>
    <row r="66">
      <c r="A66" s="8" t="inlineStr">
        <is>
          <t>Agentic RAG</t>
        </is>
      </c>
      <c r="B66" s="8" t="inlineStr">
        <is>
          <t>2–4</t>
        </is>
      </c>
      <c r="C66" s="8" t="inlineStr">
        <is>
          <t>0–200</t>
        </is>
      </c>
      <c r="D66" s="8" t="inlineStr">
        <is>
          <t>1–5K × N</t>
        </is>
      </c>
      <c r="E66" s="8" t="inlineStr">
        <is>
          <t>0</t>
        </is>
      </c>
    </row>
    <row r="67">
      <c r="A67" s="8" t="inlineStr">
        <is>
          <t>CoT</t>
        </is>
      </c>
      <c r="B67" s="8" t="inlineStr">
        <is>
          <t>1</t>
        </is>
      </c>
      <c r="C67" s="8" t="inlineStr">
        <is>
          <t>0</t>
        </is>
      </c>
      <c r="D67" s="8" t="inlineStr">
        <is>
          <t>0</t>
        </is>
      </c>
      <c r="E67" s="8" t="inlineStr">
        <is>
          <t>0</t>
        </is>
      </c>
    </row>
    <row r="68">
      <c r="A68" s="8" t="inlineStr">
        <is>
          <t>CoT-SC (p=5)</t>
        </is>
      </c>
      <c r="B68" s="8" t="inlineStr">
        <is>
          <t>5</t>
        </is>
      </c>
      <c r="C68" s="8" t="inlineStr">
        <is>
          <t>0</t>
        </is>
      </c>
      <c r="D68" s="8" t="inlineStr">
        <is>
          <t>0</t>
        </is>
      </c>
      <c r="E68" s="8" t="inlineStr">
        <is>
          <t>0</t>
        </is>
      </c>
    </row>
    <row r="69">
      <c r="A69" s="8" t="inlineStr">
        <is>
          <t>Reasoning-модели</t>
        </is>
      </c>
      <c r="B69" s="8" t="inlineStr">
        <is>
          <t>1</t>
        </is>
      </c>
      <c r="C69" s="8" t="inlineStr">
        <is>
          <t>0</t>
        </is>
      </c>
      <c r="D69" s="8" t="inlineStr">
        <is>
          <t>0</t>
        </is>
      </c>
      <c r="E69" s="8" t="inlineStr">
        <is>
          <t>0</t>
        </is>
      </c>
    </row>
    <row r="70">
      <c r="A70" s="8" t="inlineStr">
        <is>
          <t>Self-Refine</t>
        </is>
      </c>
      <c r="B70" s="8" t="inlineStr">
        <is>
          <t>5–7</t>
        </is>
      </c>
      <c r="C70" s="8" t="inlineStr">
        <is>
          <t>0</t>
        </is>
      </c>
      <c r="D70" s="8" t="inlineStr">
        <is>
          <t>0</t>
        </is>
      </c>
      <c r="E70" s="8" t="inlineStr">
        <is>
          <t>0</t>
        </is>
      </c>
    </row>
    <row r="71">
      <c r="A71" s="8" t="inlineStr">
        <is>
          <t>Function calling</t>
        </is>
      </c>
      <c r="B71" s="8" t="inlineStr">
        <is>
          <t>2–3</t>
        </is>
      </c>
      <c r="C71" s="8" t="inlineStr">
        <is>
          <t>300–500</t>
        </is>
      </c>
      <c r="D71" s="8" t="inlineStr">
        <is>
          <t>0</t>
        </is>
      </c>
      <c r="E71" s="8" t="inlineStr">
        <is>
          <t>100–200</t>
        </is>
      </c>
    </row>
    <row r="72">
      <c r="A72" s="8" t="inlineStr">
        <is>
          <t>ReAct-агент</t>
        </is>
      </c>
      <c r="B72" s="8" t="inlineStr">
        <is>
          <t>3–10</t>
        </is>
      </c>
      <c r="C72" s="8" t="inlineStr">
        <is>
          <t>500–2K</t>
        </is>
      </c>
      <c r="D72" s="8" t="inlineStr">
        <is>
          <t>0–3K</t>
        </is>
      </c>
      <c r="E72" s="8" t="inlineStr">
        <is>
          <t>100–200</t>
        </is>
      </c>
    </row>
    <row r="73">
      <c r="A73" s="8" t="inlineStr">
        <is>
          <t>Мультиагенты</t>
        </is>
      </c>
      <c r="B73" s="8" t="inlineStr">
        <is>
          <t>6–20+</t>
        </is>
      </c>
      <c r="C73" s="8" t="inlineStr">
        <is>
          <t>500–2K</t>
        </is>
      </c>
      <c r="D73" s="8" t="inlineStr">
        <is>
          <t>0–5K</t>
        </is>
      </c>
      <c r="E73" s="8" t="inlineStr">
        <is>
          <t>100–200</t>
        </is>
      </c>
    </row>
    <row r="74">
      <c r="A74" s="8" t="inlineStr">
        <is>
          <t>Coding-агент</t>
        </is>
      </c>
      <c r="B74" s="8" t="inlineStr">
        <is>
          <t>5–15</t>
        </is>
      </c>
      <c r="C74" s="8" t="inlineStr">
        <is>
          <t>1–3K</t>
        </is>
      </c>
      <c r="D74" s="8" t="inlineStr">
        <is>
          <t>2–10K</t>
        </is>
      </c>
      <c r="E74" s="8" t="inlineStr">
        <is>
          <t>200–500</t>
        </is>
      </c>
    </row>
  </sheetData>
  <mergeCells count="35">
    <mergeCell ref="A59:E59"/>
    <mergeCell ref="A48:E48"/>
    <mergeCell ref="A15:E15"/>
    <mergeCell ref="A60:E60"/>
    <mergeCell ref="A11:E11"/>
    <mergeCell ref="A51:E51"/>
    <mergeCell ref="A1:E1"/>
    <mergeCell ref="A45:E45"/>
    <mergeCell ref="A6:E6"/>
    <mergeCell ref="A16:E16"/>
    <mergeCell ref="A54:E54"/>
    <mergeCell ref="A7:E7"/>
    <mergeCell ref="A18:E18"/>
    <mergeCell ref="A56:E56"/>
    <mergeCell ref="A55:E55"/>
    <mergeCell ref="A12:E12"/>
    <mergeCell ref="A50:E50"/>
    <mergeCell ref="A57:E57"/>
    <mergeCell ref="A5:E5"/>
    <mergeCell ref="A14:E14"/>
    <mergeCell ref="A8:E8"/>
    <mergeCell ref="A22:E22"/>
    <mergeCell ref="A17:E17"/>
    <mergeCell ref="A53:E53"/>
    <mergeCell ref="A29:E29"/>
    <mergeCell ref="A4:E4"/>
    <mergeCell ref="A62:E62"/>
    <mergeCell ref="A20:E20"/>
    <mergeCell ref="A38:E38"/>
    <mergeCell ref="A52:E52"/>
    <mergeCell ref="A10:E10"/>
    <mergeCell ref="A19:E19"/>
    <mergeCell ref="A13:E13"/>
    <mergeCell ref="A58:E58"/>
    <mergeCell ref="A9:E9"/>
  </mergeCells>
  <printOptions horizontalCentered="1"/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40"/>
  <sheetViews>
    <sheetView workbookViewId="0">
      <selection activeCell="A1" sqref="A1"/>
    </sheetView>
  </sheetViews>
  <sheetFormatPr baseColWidth="8" defaultRowHeight="15"/>
  <cols>
    <col width="48" customWidth="1" min="1" max="1"/>
    <col width="60" customWidth="1" min="2" max="2"/>
    <col width="11" customWidth="1" min="3" max="3"/>
    <col width="70" customWidth="1" min="4" max="4"/>
    <col width="12" customWidth="1" min="5" max="5"/>
  </cols>
  <sheetData>
    <row r="1">
      <c r="A1" s="1" t="inlineStr">
        <is>
          <t>Калибровка η_mem, η_pf, η_dec — Приложение Е методики</t>
        </is>
      </c>
    </row>
    <row r="2">
      <c r="A2" s="2" t="inlineStr">
        <is>
          <t>Ввод (INPUT)</t>
        </is>
      </c>
      <c r="B2" s="3" t="inlineStr">
        <is>
          <t>Расчёт / Итог (bold)</t>
        </is>
      </c>
      <c r="C2" s="4" t="inlineStr">
        <is>
          <t>Проверка ✓/✗ — окрашивается по результату</t>
        </is>
      </c>
    </row>
    <row r="4">
      <c r="A4" s="4" t="inlineStr">
        <is>
          <t>Введите наблюдаемые значения пропускной способности из двух нагрузочных прогонов EvalScope (decode-heavy и prefill-heavy). Калькулятор вычислит калибровочные коэффициенты, которые можно использовать в Inputs.</t>
        </is>
      </c>
    </row>
    <row r="6">
      <c r="A6" s="5" t="inlineStr">
        <is>
          <t>Decode-heavy прогон (короткий prompt, длинный output)</t>
        </is>
      </c>
      <c r="B6" s="6" t="n"/>
      <c r="C6" s="6" t="n"/>
      <c r="D6" s="6" t="n"/>
      <c r="E6" s="7" t="n"/>
    </row>
    <row r="7">
      <c r="A7" s="8" t="inlineStr">
        <is>
          <t>BS (--parallel)</t>
        </is>
      </c>
      <c r="B7" s="4" t="inlineStr">
        <is>
          <t>Число параллельных сессий в прогоне</t>
        </is>
      </c>
      <c r="C7" s="4" t="inlineStr">
        <is>
          <t>INPUT</t>
        </is>
      </c>
      <c r="D7" s="20" t="n">
        <v>30</v>
      </c>
      <c r="E7" s="4" t="inlineStr">
        <is>
          <t>-</t>
        </is>
      </c>
    </row>
    <row r="8">
      <c r="A8" s="8" t="inlineStr">
        <is>
          <t>Th_dec^observed</t>
        </is>
      </c>
      <c r="B8" s="4" t="inlineStr">
        <is>
          <t>Output token throughput из EvalScope</t>
        </is>
      </c>
      <c r="C8" s="4" t="inlineStr">
        <is>
          <t>INPUT</t>
        </is>
      </c>
      <c r="D8" s="20" t="n">
        <v>2000</v>
      </c>
      <c r="E8" s="4" t="inlineStr">
        <is>
          <t>tok/s</t>
        </is>
      </c>
    </row>
    <row r="9">
      <c r="A9" s="8" t="inlineStr">
        <is>
          <t>SL прогона (средний prompt)</t>
        </is>
      </c>
      <c r="B9" s="4" t="inlineStr">
        <is>
          <t>min-prompt-length ≈ 400-600</t>
        </is>
      </c>
      <c r="C9" s="4" t="inlineStr">
        <is>
          <t>INPUT</t>
        </is>
      </c>
      <c r="D9" s="20" t="n">
        <v>500</v>
      </c>
      <c r="E9" s="4" t="inlineStr">
        <is>
          <t>tokens</t>
        </is>
      </c>
    </row>
    <row r="10">
      <c r="A10" s="8" t="inlineStr">
        <is>
          <t>T_dec прогона (средний output)</t>
        </is>
      </c>
      <c r="B10" s="4" t="inlineStr">
        <is>
          <t>min-tokens ≈ 300-400 для decode-heavy</t>
        </is>
      </c>
      <c r="C10" s="4" t="inlineStr">
        <is>
          <t>INPUT</t>
        </is>
      </c>
      <c r="D10" s="20" t="n">
        <v>400</v>
      </c>
      <c r="E10" s="4" t="inlineStr">
        <is>
          <t>tokens</t>
        </is>
      </c>
    </row>
    <row r="11">
      <c r="A11" s="8" t="inlineStr">
        <is>
          <t>M_KV для прогона (на сессию)</t>
        </is>
      </c>
      <c r="B11" s="4" t="inlineStr">
        <is>
          <t>Пересчёт M_KV под SL прогона</t>
        </is>
      </c>
      <c r="C11" s="4" t="inlineStr">
        <is>
          <t>calc</t>
        </is>
      </c>
      <c r="D11" s="10">
        <f>(2*Inputs!D38*Inputs!D41*Inputs!D42*D9*Inputs!D55*Inputs!D57)/1024^3</f>
        <v/>
      </c>
      <c r="E11" s="4" t="inlineStr">
        <is>
          <t>GiB</t>
        </is>
      </c>
    </row>
    <row r="12">
      <c r="A12" s="8" t="inlineStr">
        <is>
          <t>η_mem (выведено из прогона)</t>
        </is>
      </c>
      <c r="B12" s="4" t="inlineStr">
        <is>
          <t>Формула: см. Приложение Е.2 (P_effective(BS))</t>
        </is>
      </c>
      <c r="C12" s="4" t="inlineStr">
        <is>
          <t>calc</t>
        </is>
      </c>
      <c r="D12" s="26">
        <f>IF(AND(D7&gt;0,Inputs!D28&gt;0),D8*(IF(Inputs!D52,(Inputs!D48+Inputs!D49*(1-POWER(1-Inputs!D50/Inputs!D51,D7))),Inputs!D37)*10^9*Inputs!D54+D7*D11*1024^3)/(Inputs!D28*10^9*D7*Sizing!D12),0)</f>
        <v/>
      </c>
      <c r="E12" s="4" t="inlineStr">
        <is>
          <t>-</t>
        </is>
      </c>
    </row>
    <row r="13">
      <c r="A13" s="8" t="inlineStr">
        <is>
          <t>η_dec (выведено из прогона)</t>
        </is>
      </c>
      <c r="B13" s="4" t="inlineStr">
        <is>
          <t>Формула: см. §Е.3 (η_dec). Валидно при compute-bound decode — см. диагностику ниже.</t>
        </is>
      </c>
      <c r="C13" s="4" t="inlineStr">
        <is>
          <t>calc</t>
        </is>
      </c>
      <c r="D13" s="26">
        <f>IF(AND(Sizing!D26&gt;0,D7&gt;0,Sizing!D12&gt;0),D8*(Sizing!D25+4*Inputs!D38*Inputs!D39*(D9+(D10-1)/2))*D7/(Sizing!D26*Sizing!D12),0)</f>
        <v/>
      </c>
      <c r="E13" s="4" t="inlineStr">
        <is>
          <t>-</t>
        </is>
      </c>
    </row>
    <row r="14">
      <c r="A14" s="8" t="inlineStr">
        <is>
          <t>Валидность калибровки η_dec</t>
        </is>
      </c>
      <c r="B14" s="4" t="inlineStr">
        <is>
          <t>Compute-bound decode → η_dec валиден; memory-bound → используйте типовые значения §Е.5 (dense: 0.15-0.25; MoE: 0.02-0.05).</t>
        </is>
      </c>
      <c r="C14" s="4" t="inlineStr">
        <is>
          <t>calc</t>
        </is>
      </c>
      <c r="D14" s="3">
        <f>IF(AND(D12&gt;0,D13&gt;0,D7&gt;0),IF((Sizing!D26*D13/(Sizing!D25+4*Inputs!D38*Inputs!D39*(D9+(D10-1)/2))/D7)&lt;(Inputs!D28*10^9*D12/(IF(Inputs!D52,(Inputs!D48+Inputs!D49*(1-POWER(1-Inputs!D50/Inputs!D51,D7))),Inputs!D37)*10^9*Inputs!D54+D7*D11*1024^3+Inputs!D72*1024^3)),"✓ compute-bound: η_dec валиден","⚠ memory-bound прогон: η_dec лишь нижняя граница; используйте типовые значения §Е.5"),"(недостаточно данных)")</f>
        <v/>
      </c>
      <c r="E14" s="4" t="inlineStr">
        <is>
          <t>status</t>
        </is>
      </c>
    </row>
    <row r="16">
      <c r="A16" s="5" t="inlineStr">
        <is>
          <t>Калибровка O_fixed (опц., 2-точечный прогон — для MoE / FP8)</t>
        </is>
      </c>
      <c r="B16" s="6" t="n"/>
      <c r="C16" s="6" t="n"/>
      <c r="D16" s="6" t="n"/>
      <c r="E16" s="7" t="n"/>
    </row>
    <row r="17">
      <c r="A17" s="4" t="inlineStr">
        <is>
          <t>Введите данные ВТОРОГО decode-heavy прогона (на другом BS, с теми же SL и T_dec, что и в верхнем прогоне). Формула решает систему 2-х уравнений и даёт O_fixed и η_core (оба параметра новой формулы §6.2 H-6). Для dense BF16 моделей обычно O_fixed ≈ 0 (nan тут же оставьте формулу неактивной). Для MoE + FP8 на H100 vLLM типично: O_fixed = 8-10 GB.</t>
        </is>
      </c>
    </row>
    <row r="18">
      <c r="A18" s="8" t="inlineStr">
        <is>
          <t>BS₂ (--parallel, 2-й прогон)</t>
        </is>
      </c>
      <c r="B18" s="4" t="inlineStr">
        <is>
          <t>Должен ЗНАЧИТЕЛЬНО отличаться от BS первого прогона (в 4-20× раз); SL и T_dec — те же.</t>
        </is>
      </c>
      <c r="C18" s="4" t="inlineStr">
        <is>
          <t>INPUT</t>
        </is>
      </c>
      <c r="D18" s="20" t="n">
        <v>1</v>
      </c>
      <c r="E18" s="4" t="inlineStr">
        <is>
          <t>-</t>
        </is>
      </c>
    </row>
    <row r="19">
      <c r="A19" s="8" t="inlineStr">
        <is>
          <t>Th_dec^observed (2-й прогон)</t>
        </is>
      </c>
      <c r="B19" s="4" t="inlineStr">
        <is>
          <t>Output token throughput из EvalScope (aggregate).</t>
        </is>
      </c>
      <c r="C19" s="4" t="inlineStr">
        <is>
          <t>INPUT</t>
        </is>
      </c>
      <c r="D19" s="20" t="n">
        <v>100</v>
      </c>
      <c r="E19" s="4" t="inlineStr">
        <is>
          <t>tok/s</t>
        </is>
      </c>
    </row>
    <row r="20">
      <c r="A20" s="8" t="inlineStr">
        <is>
          <t>D₁ = P_eff(BS₁)·B_q·10⁹ + BS₁·M_kv·1024³</t>
        </is>
      </c>
      <c r="B20" s="4" t="inlineStr">
        <is>
          <t>Знаменатель Th_dec для прогона 1 (без O_fixed). Примечание: p_eff_expr уже содержит *10⁹, поэтому здесь только *B_quant.</t>
        </is>
      </c>
      <c r="C20" s="4" t="inlineStr">
        <is>
          <t>calc</t>
        </is>
      </c>
      <c r="D20" s="24">
        <f>IF(Inputs!D52,(Inputs!D48+Inputs!D49*(1-POWER(1-Inputs!D50/Inputs!D51,D7))),Inputs!D37)*10^9*Inputs!D54+D7*D11*1024^3</f>
        <v/>
      </c>
      <c r="E20" s="4" t="inlineStr">
        <is>
          <t>bytes</t>
        </is>
      </c>
    </row>
    <row r="21">
      <c r="A21" s="8" t="inlineStr">
        <is>
          <t>D₂ = P_eff(BS₂)·B_q·10⁹ + BS₂·M_kv·1024³</t>
        </is>
      </c>
      <c r="B21" s="4" t="inlineStr">
        <is>
          <t>Знаменатель Th_dec для прогона 2 (без O_fixed); M_kv одинаковое (общая SL)</t>
        </is>
      </c>
      <c r="C21" s="4" t="inlineStr">
        <is>
          <t>calc</t>
        </is>
      </c>
      <c r="D21" s="24">
        <f>IF(Inputs!D52,(Inputs!D48+Inputs!D49*(1-POWER(1-Inputs!D50/Inputs!D51,D18))),Inputs!D37)*10^9*Inputs!D54+D18*D11*1024^3</f>
        <v/>
      </c>
      <c r="E21" s="4" t="inlineStr">
        <is>
          <t>bytes</t>
        </is>
      </c>
    </row>
    <row r="22">
      <c r="A22" s="8" t="inlineStr">
        <is>
          <t>t₁ = Th₁ / (N_model · BS₁)  per-session</t>
        </is>
      </c>
      <c r="B22" s="4" t="inlineStr">
        <is>
          <t>Приводим aggregate-пропускную к per-session</t>
        </is>
      </c>
      <c r="C22" s="4" t="inlineStr">
        <is>
          <t>calc</t>
        </is>
      </c>
      <c r="D22" s="12">
        <f>IF(AND(Sizing!D12&gt;0,D7&gt;0),D8/(Sizing!D12*D7),0)</f>
        <v/>
      </c>
      <c r="E22" s="4" t="inlineStr">
        <is>
          <t>tok/s/sess.</t>
        </is>
      </c>
    </row>
    <row r="23">
      <c r="A23" s="8" t="inlineStr">
        <is>
          <t>t₂ = Th₂ / (N_model · BS₂)</t>
        </is>
      </c>
      <c r="B23" s="4" t="inlineStr"/>
      <c r="C23" s="4" t="inlineStr">
        <is>
          <t>calc</t>
        </is>
      </c>
      <c r="D23" s="12">
        <f>IF(AND(Sizing!D12&gt;0,D18&gt;0),D19/(Sizing!D12*D18),0)</f>
        <v/>
      </c>
      <c r="E23" s="4" t="inlineStr">
        <is>
          <t>tok/s/sess.</t>
        </is>
      </c>
    </row>
    <row r="24">
      <c r="A24" s="8" t="inlineStr">
        <is>
          <t>O_fixed (выведено из 2 прогонов)</t>
        </is>
      </c>
      <c r="B24" s="4" t="inlineStr">
        <is>
          <t>O = (t₂·D₂ − t₁·D₁) / (1024³ × (t₁ − t₂)); в GB. Если ≤ 0 → вероятно dense модель, используйте O_fixed = 0.</t>
        </is>
      </c>
      <c r="C24" s="4" t="inlineStr">
        <is>
          <t>calc</t>
        </is>
      </c>
      <c r="D24" s="26">
        <f>IF(ABS(D22-D23)&gt;0.01,(D23*D21-D22*D20)/(1024^3*(D22-D23)),0)</f>
        <v/>
      </c>
      <c r="E24" s="4" t="inlineStr">
        <is>
          <t>GB</t>
        </is>
      </c>
    </row>
    <row r="25">
      <c r="A25" s="8" t="inlineStr">
        <is>
          <t>η_core (выведено из 2 прогонов)</t>
        </is>
      </c>
      <c r="B25" s="4" t="inlineStr">
        <is>
          <t>η_core = t₁ × (D₁ + O×1024³) / (BW × 10⁹); при O_fixed=0 совпадает с η_mem одноточечной калибровки.</t>
        </is>
      </c>
      <c r="C25" s="4" t="inlineStr">
        <is>
          <t>calc</t>
        </is>
      </c>
      <c r="D25" s="26">
        <f>IF(AND(D22&gt;0,Inputs!D28&gt;0),D22*(D20+D24*1024^3)/(Inputs!D28*10^9),0)</f>
        <v/>
      </c>
      <c r="E25" s="4" t="inlineStr">
        <is>
          <t>-</t>
        </is>
      </c>
    </row>
    <row r="26">
      <c r="A26" s="8" t="inlineStr">
        <is>
          <t>Валидность 2-точечного фита</t>
        </is>
      </c>
      <c r="B26" s="4" t="inlineStr">
        <is>
          <t>Требования: |t₁−t₂|/max(t₁,t₂) ≥ 20%, O_fixed ≥ 0, η_core ∈ (0, 1). Иначе проверьте: GPU/модель/квант в Inputs совпадают с реальностью, BS разнесены (например, 1 vs 16).</t>
        </is>
      </c>
      <c r="C26" s="4" t="inlineStr">
        <is>
          <t>calc</t>
        </is>
      </c>
      <c r="D26" s="3">
        <f>IF(AND(D22&gt;0,D23&gt;0),IF(ABS(D22-D23)/MAX(D22,D23)&lt;0.2,"⚠ t₁ и t₂ слишком близки (&lt; 20%): возьмите более разные BS",IF(D24&lt;0,"⚠ O_fixed &lt; 0 — dense модель или шум: выставьте O_fixed = 0",IF(OR(D25&lt;=0,D25&gt;1),"⚠ η_core вне диапазона (0,1): проверьте Inputs (GPU, модель, квант)","✓ валидный фит: скопируйте O_fixed и η_core в Inputs"))),"(введите данные обоих прогонов)")</f>
        <v/>
      </c>
      <c r="E26" s="4" t="inlineStr">
        <is>
          <t>status</t>
        </is>
      </c>
    </row>
    <row r="28">
      <c r="A28" s="5" t="inlineStr">
        <is>
          <t>Prefill-heavy прогон (длинный prompt, короткий output)</t>
        </is>
      </c>
      <c r="B28" s="6" t="n"/>
      <c r="C28" s="6" t="n"/>
      <c r="D28" s="6" t="n"/>
      <c r="E28" s="7" t="n"/>
    </row>
    <row r="29">
      <c r="A29" s="8" t="inlineStr">
        <is>
          <t>Th_pf^observed</t>
        </is>
      </c>
      <c r="B29" s="4" t="inlineStr">
        <is>
          <t>Total throughput − Output throughput</t>
        </is>
      </c>
      <c r="C29" s="4" t="inlineStr">
        <is>
          <t>INPUT</t>
        </is>
      </c>
      <c r="D29" s="20" t="n">
        <v>8000</v>
      </c>
      <c r="E29" s="4" t="inlineStr">
        <is>
          <t>tok/s</t>
        </is>
      </c>
    </row>
    <row r="30">
      <c r="A30" s="8" t="inlineStr">
        <is>
          <t>SL_pf прогона (средний prompt)</t>
        </is>
      </c>
      <c r="B30" s="4" t="inlineStr">
        <is>
          <t>min-prompt-length ≈ 7000-9000</t>
        </is>
      </c>
      <c r="C30" s="4" t="inlineStr">
        <is>
          <t>INPUT</t>
        </is>
      </c>
      <c r="D30" s="20" t="n">
        <v>8000</v>
      </c>
      <c r="E30" s="4" t="inlineStr">
        <is>
          <t>tokens</t>
        </is>
      </c>
    </row>
    <row r="31">
      <c r="A31" s="8" t="inlineStr">
        <is>
          <t>η_pf (выведено из прогона)</t>
        </is>
      </c>
      <c r="B31" s="4" t="inlineStr">
        <is>
          <t>Формула: см. Приложение Е.3 (с делителем BS · N_{TP=Z}^model)</t>
        </is>
      </c>
      <c r="C31" s="4" t="inlineStr">
        <is>
          <t>calc</t>
        </is>
      </c>
      <c r="D31" s="26">
        <f>IF(AND(Sizing!D26&gt;0,D7&gt;0,Sizing!D12&gt;0),D29*(Sizing!D25+4*Inputs!D38*Inputs!D39*D30)/(Sizing!D26*D7*Sizing!D12),0)</f>
        <v/>
      </c>
      <c r="E31" s="4" t="inlineStr">
        <is>
          <t>-</t>
        </is>
      </c>
    </row>
    <row r="33">
      <c r="A33" s="5" t="inlineStr">
        <is>
          <t>Самопроверка по закону Литтла (Приложение Е.4)</t>
        </is>
      </c>
      <c r="B33" s="6" t="n"/>
      <c r="C33" s="6" t="n"/>
      <c r="D33" s="6" t="n"/>
      <c r="E33" s="7" t="n"/>
    </row>
    <row r="34">
      <c r="A34" s="8" t="inlineStr">
        <is>
          <t>λ: request throughput (из EvalScope)</t>
        </is>
      </c>
      <c r="B34" s="4" t="inlineStr">
        <is>
          <t>Запросов/с из прогона</t>
        </is>
      </c>
      <c r="C34" s="4" t="inlineStr">
        <is>
          <t>INPUT</t>
        </is>
      </c>
      <c r="D34" s="23" t="n">
        <v>10</v>
      </c>
      <c r="E34" s="4" t="inlineStr">
        <is>
          <t>req/s</t>
        </is>
      </c>
    </row>
    <row r="35">
      <c r="A35" s="8" t="inlineStr">
        <is>
          <t>W: average latency (из EvalScope)</t>
        </is>
      </c>
      <c r="B35" s="4" t="inlineStr">
        <is>
          <t>Средняя задержка, сек</t>
        </is>
      </c>
      <c r="C35" s="4" t="inlineStr">
        <is>
          <t>INPUT</t>
        </is>
      </c>
      <c r="D35" s="27" t="n">
        <v>3</v>
      </c>
      <c r="E35" s="4" t="inlineStr">
        <is>
          <t>s</t>
        </is>
      </c>
    </row>
    <row r="36">
      <c r="A36" s="8" t="inlineStr">
        <is>
          <t>N = λ · W (ожидаемая концентрация)</t>
        </is>
      </c>
      <c r="B36" s="4" t="inlineStr">
        <is>
          <t>Должна быть близка к BS</t>
        </is>
      </c>
      <c r="C36" s="4" t="inlineStr">
        <is>
          <t>calc</t>
        </is>
      </c>
      <c r="D36" s="10">
        <f>D34*D35</f>
        <v/>
      </c>
      <c r="E36" s="4" t="inlineStr">
        <is>
          <t>-</t>
        </is>
      </c>
    </row>
    <row r="37">
      <c r="A37" s="8" t="inlineStr">
        <is>
          <t>Проверка: |N - BS| / BS ≤ 10%</t>
        </is>
      </c>
      <c r="B37" s="4" t="inlineStr">
        <is>
          <t>Если выходит — прогон недостоверен</t>
        </is>
      </c>
      <c r="C37" s="4" t="inlineStr">
        <is>
          <t>calc</t>
        </is>
      </c>
      <c r="D37" s="3">
        <f>IF(D7&gt;0,IF(ABS(D36-D7)/D7&lt;=0.1,"✓ OK","✗ FAIL: пересмотрите прогон"),"(нет BS)")</f>
        <v/>
      </c>
      <c r="E37" s="4" t="inlineStr">
        <is>
          <t>status</t>
        </is>
      </c>
    </row>
    <row r="39">
      <c r="A39" s="5" t="inlineStr">
        <is>
          <t>Рекомендации по применению</t>
        </is>
      </c>
      <c r="B39" s="6" t="n"/>
      <c r="C39" s="6" t="n"/>
      <c r="D39" s="6" t="n"/>
      <c r="E39" s="7" t="n"/>
    </row>
    <row r="40">
      <c r="A40" s="4" t="inlineStr">
        <is>
          <t>Полученные η_mem, η_pf, η_dec скопируйте в соответствующие поля Inputs!D для данной пары (модель, GPU, движок). При смене модели, квантизации или версии инференс-движка повторите калибровку. η_dec валиден только для compute-bound decode — см. диагностику выше; для MoE-моделей decode обычно memory-bandwidth-bound, и η_dec слабо влияет на сайзинг (используйте типовые 0.02-0.05 из §Е.5).</t>
        </is>
      </c>
    </row>
  </sheetData>
  <mergeCells count="9">
    <mergeCell ref="A39:E39"/>
    <mergeCell ref="A4:E4"/>
    <mergeCell ref="A16:E16"/>
    <mergeCell ref="A28:E28"/>
    <mergeCell ref="A33:E33"/>
    <mergeCell ref="A40:E40"/>
    <mergeCell ref="A1:E1"/>
    <mergeCell ref="A6:E6"/>
    <mergeCell ref="A17:E17"/>
  </mergeCells>
  <conditionalFormatting sqref="D4:D2000">
    <cfRule type="expression" priority="1" dxfId="0">
      <formula>ISNUMBER(SEARCH("✓",D4))</formula>
    </cfRule>
    <cfRule type="expression" priority="2" dxfId="1">
      <formula>ISNUMBER(SEARCH("✗",D4))</formula>
    </cfRule>
    <cfRule type="expression" priority="3" dxfId="2">
      <formula>ISNUMBER(SEARCH("⚠",D4))</formula>
    </cfRule>
  </conditionalFormatting>
  <printOptions horizontalCentered="1"/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P94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6" customWidth="1" min="3" max="3"/>
    <col width="11" customWidth="1" min="4" max="4"/>
    <col width="18" customWidth="1" min="5" max="5"/>
    <col width="13" customWidth="1" min="6" max="6"/>
    <col width="10" customWidth="1" min="7" max="7"/>
    <col width="12" customWidth="1" min="8" max="8"/>
    <col width="24" customWidth="1" min="9" max="9"/>
    <col width="12" customWidth="1" min="10" max="10"/>
    <col width="13" customWidth="1" min="11" max="11"/>
    <col width="18" customWidth="1" min="12" max="12"/>
    <col width="11" customWidth="1" min="13" max="13"/>
    <col width="11" customWidth="1" min="14" max="14"/>
    <col width="10" customWidth="1" min="15" max="15"/>
    <col width="11" customWidth="1" min="16" max="16"/>
  </cols>
  <sheetData>
    <row r="1">
      <c r="A1" s="5" t="inlineStr">
        <is>
          <t>Каталог GPU</t>
        </is>
      </c>
      <c r="B1" s="6" t="n"/>
      <c r="C1" s="6" t="n"/>
      <c r="D1" s="6" t="n"/>
      <c r="E1" s="7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7" t="n"/>
    </row>
    <row r="2">
      <c r="A2" s="28" t="inlineStr">
        <is>
          <t>GPU</t>
        </is>
      </c>
      <c r="B2" s="28" t="inlineStr">
        <is>
          <t>Memory (GiB)</t>
        </is>
      </c>
      <c r="C2" s="28" t="inlineStr">
        <is>
          <t>FLOPS FP16 (TFLOPS)</t>
        </is>
      </c>
      <c r="D2" s="28" t="inlineStr">
        <is>
          <t>BW_GPU (GB/s)</t>
        </is>
      </c>
      <c r="E2" s="28" t="inlineStr">
        <is>
          <t>Generation</t>
        </is>
      </c>
    </row>
    <row r="3">
      <c r="A3" s="29" t="inlineStr">
        <is>
          <t>V100 PCIe 16GB</t>
        </is>
      </c>
      <c r="B3" s="29" t="n">
        <v>16</v>
      </c>
      <c r="C3" s="29" t="n">
        <v>112</v>
      </c>
      <c r="D3" s="29" t="n">
        <v>900</v>
      </c>
      <c r="E3" s="29" t="inlineStr">
        <is>
          <t>Volta</t>
        </is>
      </c>
    </row>
    <row r="4">
      <c r="A4" s="29" t="inlineStr">
        <is>
          <t>V100 PCIe 32GB</t>
        </is>
      </c>
      <c r="B4" s="29" t="n">
        <v>32</v>
      </c>
      <c r="C4" s="29" t="n">
        <v>112</v>
      </c>
      <c r="D4" s="29" t="n">
        <v>900</v>
      </c>
      <c r="E4" s="29" t="inlineStr">
        <is>
          <t>Volta</t>
        </is>
      </c>
    </row>
    <row r="5">
      <c r="A5" s="29" t="inlineStr">
        <is>
          <t>V100 SXM2 32GB</t>
        </is>
      </c>
      <c r="B5" s="29" t="n">
        <v>32</v>
      </c>
      <c r="C5" s="29" t="n">
        <v>125</v>
      </c>
      <c r="D5" s="29" t="n">
        <v>900</v>
      </c>
      <c r="E5" s="29" t="inlineStr">
        <is>
          <t>Volta</t>
        </is>
      </c>
    </row>
    <row r="6">
      <c r="A6" s="29" t="inlineStr">
        <is>
          <t>V100S PCIe 32GB</t>
        </is>
      </c>
      <c r="B6" s="29" t="n">
        <v>32</v>
      </c>
      <c r="C6" s="29" t="n">
        <v>130</v>
      </c>
      <c r="D6" s="29" t="n">
        <v>1134</v>
      </c>
      <c r="E6" s="29" t="inlineStr">
        <is>
          <t>Volta</t>
        </is>
      </c>
    </row>
    <row r="7">
      <c r="A7" s="29" t="inlineStr">
        <is>
          <t>A100 PCIe 40GB</t>
        </is>
      </c>
      <c r="B7" s="29" t="n">
        <v>40</v>
      </c>
      <c r="C7" s="29" t="n">
        <v>312</v>
      </c>
      <c r="D7" s="29" t="n">
        <v>1555</v>
      </c>
      <c r="E7" s="29" t="inlineStr">
        <is>
          <t>Ampere</t>
        </is>
      </c>
    </row>
    <row r="8">
      <c r="A8" s="29" t="inlineStr">
        <is>
          <t>A100 PCIe 80GB</t>
        </is>
      </c>
      <c r="B8" s="29" t="n">
        <v>80</v>
      </c>
      <c r="C8" s="29" t="n">
        <v>312</v>
      </c>
      <c r="D8" s="29" t="n">
        <v>1935</v>
      </c>
      <c r="E8" s="29" t="inlineStr">
        <is>
          <t>Ampere</t>
        </is>
      </c>
    </row>
    <row r="9">
      <c r="A9" s="29" t="inlineStr">
        <is>
          <t>A100 SXM 80GB</t>
        </is>
      </c>
      <c r="B9" s="29" t="n">
        <v>80</v>
      </c>
      <c r="C9" s="29" t="n">
        <v>312</v>
      </c>
      <c r="D9" s="29" t="n">
        <v>2039</v>
      </c>
      <c r="E9" s="29" t="inlineStr">
        <is>
          <t>Ampere</t>
        </is>
      </c>
    </row>
    <row r="10">
      <c r="A10" s="29" t="inlineStr">
        <is>
          <t>H100 PCIe 80GB</t>
        </is>
      </c>
      <c r="B10" s="29" t="n">
        <v>80</v>
      </c>
      <c r="C10" s="29" t="n">
        <v>756</v>
      </c>
      <c r="D10" s="29" t="n">
        <v>2000</v>
      </c>
      <c r="E10" s="29" t="inlineStr">
        <is>
          <t>Hopper</t>
        </is>
      </c>
    </row>
    <row r="11">
      <c r="A11" s="29" t="inlineStr">
        <is>
          <t>H100 SXM 80GB</t>
        </is>
      </c>
      <c r="B11" s="29" t="n">
        <v>80</v>
      </c>
      <c r="C11" s="29" t="n">
        <v>989</v>
      </c>
      <c r="D11" s="29" t="n">
        <v>3350</v>
      </c>
      <c r="E11" s="29" t="inlineStr">
        <is>
          <t>Hopper</t>
        </is>
      </c>
    </row>
    <row r="12">
      <c r="A12" s="29" t="inlineStr">
        <is>
          <t>H200 SXM 141GB</t>
        </is>
      </c>
      <c r="B12" s="29" t="n">
        <v>141</v>
      </c>
      <c r="C12" s="29" t="n">
        <v>989</v>
      </c>
      <c r="D12" s="29" t="n">
        <v>4800</v>
      </c>
      <c r="E12" s="29" t="inlineStr">
        <is>
          <t>Hopper</t>
        </is>
      </c>
    </row>
    <row r="13">
      <c r="A13" s="29" t="inlineStr">
        <is>
          <t>H20 96GB</t>
        </is>
      </c>
      <c r="B13" s="29" t="n">
        <v>96</v>
      </c>
      <c r="C13" s="29" t="n">
        <v>148</v>
      </c>
      <c r="D13" s="29" t="n">
        <v>4000</v>
      </c>
      <c r="E13" s="29" t="inlineStr">
        <is>
          <t>Hopper (CN)</t>
        </is>
      </c>
    </row>
    <row r="14">
      <c r="A14" s="29" t="inlineStr">
        <is>
          <t>L40S 48GB</t>
        </is>
      </c>
      <c r="B14" s="29" t="n">
        <v>48</v>
      </c>
      <c r="C14" s="29" t="n">
        <v>366</v>
      </c>
      <c r="D14" s="29" t="n">
        <v>864</v>
      </c>
      <c r="E14" s="29" t="inlineStr">
        <is>
          <t>Ada Lovelace</t>
        </is>
      </c>
    </row>
    <row r="15">
      <c r="A15" s="29" t="inlineStr">
        <is>
          <t>RTX PRO 6000 Blackwell PCIe 96GB</t>
        </is>
      </c>
      <c r="B15" s="29" t="n">
        <v>96</v>
      </c>
      <c r="C15" s="29" t="n">
        <v>252</v>
      </c>
      <c r="D15" s="29" t="n">
        <v>1792</v>
      </c>
      <c r="E15" s="29" t="inlineStr">
        <is>
          <t>Blackwell</t>
        </is>
      </c>
    </row>
    <row r="16">
      <c r="A16" s="29" t="inlineStr">
        <is>
          <t>B200 SXM 192GB</t>
        </is>
      </c>
      <c r="B16" s="29" t="n">
        <v>192</v>
      </c>
      <c r="C16" s="29" t="n">
        <v>2250</v>
      </c>
      <c r="D16" s="29" t="n">
        <v>8000</v>
      </c>
      <c r="E16" s="29" t="inlineStr">
        <is>
          <t>Blackwell</t>
        </is>
      </c>
    </row>
    <row r="17">
      <c r="A17" s="29" t="inlineStr">
        <is>
          <t>B300 SXM 288GB</t>
        </is>
      </c>
      <c r="B17" s="29" t="n">
        <v>288</v>
      </c>
      <c r="C17" s="29" t="n">
        <v>3375</v>
      </c>
      <c r="D17" s="29" t="n">
        <v>8000</v>
      </c>
      <c r="E17" s="29" t="inlineStr">
        <is>
          <t>Blackwell Ultra</t>
        </is>
      </c>
    </row>
    <row r="18">
      <c r="A18" s="29" t="inlineStr">
        <is>
          <t>MI300X 192GB</t>
        </is>
      </c>
      <c r="B18" s="29" t="n">
        <v>192</v>
      </c>
      <c r="C18" s="29" t="n">
        <v>1307</v>
      </c>
      <c r="D18" s="29" t="n">
        <v>5325</v>
      </c>
      <c r="E18" s="29" t="inlineStr">
        <is>
          <t>AMD CDNA3</t>
        </is>
      </c>
    </row>
    <row r="19">
      <c r="A19" s="29" t="inlineStr">
        <is>
          <t>MI325X 256GB</t>
        </is>
      </c>
      <c r="B19" s="29" t="n">
        <v>256</v>
      </c>
      <c r="C19" s="29" t="n">
        <v>1307</v>
      </c>
      <c r="D19" s="29" t="n">
        <v>6000</v>
      </c>
      <c r="E19" s="29" t="inlineStr">
        <is>
          <t>AMD CDNA3</t>
        </is>
      </c>
    </row>
    <row r="20">
      <c r="A20" s="29" t="inlineStr">
        <is>
          <t>GH200 SXM 144GB</t>
        </is>
      </c>
      <c r="B20" s="29" t="n">
        <v>144</v>
      </c>
      <c r="C20" s="29" t="n">
        <v>989</v>
      </c>
      <c r="D20" s="29" t="n">
        <v>4800</v>
      </c>
      <c r="E20" s="29" t="inlineStr">
        <is>
          <t>Hopper + Grace</t>
        </is>
      </c>
    </row>
    <row r="22">
      <c r="A22" s="5" t="inlineStr">
        <is>
          <t>Каталог LLM моделей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7" t="n"/>
    </row>
    <row r="23">
      <c r="A23" s="28" t="inlineStr">
        <is>
          <t>LLM</t>
        </is>
      </c>
      <c r="B23" s="28" t="inlineStr">
        <is>
          <t>P_total (B)</t>
        </is>
      </c>
      <c r="C23" s="28" t="inlineStr">
        <is>
          <t>P_active (B)</t>
        </is>
      </c>
      <c r="D23" s="28" t="inlineStr">
        <is>
          <t>L</t>
        </is>
      </c>
      <c r="E23" s="28" t="inlineStr">
        <is>
          <t>H</t>
        </is>
      </c>
      <c r="F23" s="28" t="inlineStr">
        <is>
          <t>N_attention</t>
        </is>
      </c>
      <c r="G23" s="28" t="inlineStr">
        <is>
          <t>N_kv</t>
        </is>
      </c>
      <c r="H23" s="28" t="inlineStr">
        <is>
          <t>head_dim</t>
        </is>
      </c>
      <c r="I23" s="28" t="inlineStr">
        <is>
          <t>Архитектура</t>
        </is>
      </c>
      <c r="J23" s="28" t="inlineStr">
        <is>
          <t>TS_max</t>
        </is>
      </c>
      <c r="K23" s="28" t="inlineStr">
        <is>
          <t>kv_lora_rank</t>
        </is>
      </c>
      <c r="L23" s="28" t="inlineStr">
        <is>
          <t>qk_rope_head_dim</t>
        </is>
      </c>
      <c r="M23" s="28" t="inlineStr">
        <is>
          <t>P_dense (B)</t>
        </is>
      </c>
      <c r="N23" s="28" t="inlineStr">
        <is>
          <t>P_moe (B)</t>
        </is>
      </c>
      <c r="O23" s="28" t="inlineStr">
        <is>
          <t>k_moe (top-k)</t>
        </is>
      </c>
      <c r="P23" s="28" t="inlineStr">
        <is>
          <t>N_experts</t>
        </is>
      </c>
    </row>
    <row r="24">
      <c r="A24" s="29" t="inlineStr">
        <is>
          <t>Qwen3-30B-A3B</t>
        </is>
      </c>
      <c r="B24" s="29" t="n">
        <v>30</v>
      </c>
      <c r="C24" s="29" t="n">
        <v>3</v>
      </c>
      <c r="D24" s="29" t="n">
        <v>48</v>
      </c>
      <c r="E24" s="29" t="n">
        <v>2048</v>
      </c>
      <c r="F24" s="29" t="n">
        <v>32</v>
      </c>
      <c r="G24" s="29" t="n">
        <v>4</v>
      </c>
      <c r="H24" s="29" t="n">
        <v>128</v>
      </c>
      <c r="I24" s="29" t="inlineStr">
        <is>
          <t>MoE/GQA</t>
        </is>
      </c>
      <c r="J24" s="29" t="n">
        <v>40960</v>
      </c>
      <c r="K24" s="29" t="n">
        <v>0</v>
      </c>
      <c r="L24" s="29" t="n">
        <v>0</v>
      </c>
      <c r="M24" s="29" t="n">
        <v>1.54</v>
      </c>
      <c r="N24" s="29" t="n">
        <v>28.99</v>
      </c>
      <c r="O24" s="29" t="n">
        <v>8</v>
      </c>
      <c r="P24" s="29" t="n">
        <v>128</v>
      </c>
    </row>
    <row r="25">
      <c r="A25" s="29" t="inlineStr">
        <is>
          <t>Qwen3-32B</t>
        </is>
      </c>
      <c r="B25" s="29" t="n">
        <v>32</v>
      </c>
      <c r="C25" s="29" t="n">
        <v>32</v>
      </c>
      <c r="D25" s="29" t="n">
        <v>64</v>
      </c>
      <c r="E25" s="29" t="n">
        <v>5120</v>
      </c>
      <c r="F25" s="29" t="n">
        <v>64</v>
      </c>
      <c r="G25" s="29" t="n">
        <v>8</v>
      </c>
      <c r="H25" s="29" t="n">
        <v>128</v>
      </c>
      <c r="I25" s="29" t="inlineStr">
        <is>
          <t>dense/GQA</t>
        </is>
      </c>
      <c r="J25" s="29" t="n">
        <v>40960</v>
      </c>
      <c r="K25" s="29" t="n">
        <v>0</v>
      </c>
      <c r="L25" s="29" t="n">
        <v>0</v>
      </c>
      <c r="M25" s="29" t="n">
        <v>0</v>
      </c>
      <c r="N25" s="29" t="n">
        <v>0</v>
      </c>
      <c r="O25" s="29" t="n">
        <v>0</v>
      </c>
      <c r="P25" s="29" t="n">
        <v>0</v>
      </c>
    </row>
    <row r="26">
      <c r="A26" s="29" t="inlineStr">
        <is>
          <t>Qwen3-235B-A22B</t>
        </is>
      </c>
      <c r="B26" s="29" t="n">
        <v>235</v>
      </c>
      <c r="C26" s="29" t="n">
        <v>22</v>
      </c>
      <c r="D26" s="29" t="n">
        <v>94</v>
      </c>
      <c r="E26" s="29" t="n">
        <v>4096</v>
      </c>
      <c r="F26" s="29" t="n">
        <v>64</v>
      </c>
      <c r="G26" s="29" t="n">
        <v>4</v>
      </c>
      <c r="H26" s="29" t="n">
        <v>128</v>
      </c>
      <c r="I26" s="29" t="inlineStr">
        <is>
          <t>MoE/GQA</t>
        </is>
      </c>
      <c r="J26" s="29" t="n">
        <v>40960</v>
      </c>
      <c r="K26" s="29" t="n">
        <v>0</v>
      </c>
      <c r="L26" s="29" t="n">
        <v>0</v>
      </c>
      <c r="M26" s="29" t="n">
        <v>8</v>
      </c>
      <c r="N26" s="29" t="n">
        <v>227.1</v>
      </c>
      <c r="O26" s="29" t="n">
        <v>8</v>
      </c>
      <c r="P26" s="29" t="n">
        <v>128</v>
      </c>
    </row>
    <row r="27">
      <c r="A27" s="29" t="inlineStr">
        <is>
          <t>Qwen3-30B-A3B-Instruct-2507</t>
        </is>
      </c>
      <c r="B27" s="29" t="n">
        <v>30</v>
      </c>
      <c r="C27" s="29" t="n">
        <v>3</v>
      </c>
      <c r="D27" s="29" t="n">
        <v>48</v>
      </c>
      <c r="E27" s="29" t="n">
        <v>2048</v>
      </c>
      <c r="F27" s="29" t="n">
        <v>32</v>
      </c>
      <c r="G27" s="29" t="n">
        <v>4</v>
      </c>
      <c r="H27" s="29" t="n">
        <v>128</v>
      </c>
      <c r="I27" s="29" t="inlineStr">
        <is>
          <t>MoE/GQA (non-think)</t>
        </is>
      </c>
      <c r="J27" s="29" t="n">
        <v>262144</v>
      </c>
      <c r="K27" s="29" t="n">
        <v>0</v>
      </c>
      <c r="L27" s="29" t="n">
        <v>0</v>
      </c>
      <c r="M27" s="29" t="n">
        <v>1.54</v>
      </c>
      <c r="N27" s="29" t="n">
        <v>28.99</v>
      </c>
      <c r="O27" s="29" t="n">
        <v>8</v>
      </c>
      <c r="P27" s="29" t="n">
        <v>128</v>
      </c>
    </row>
    <row r="28">
      <c r="A28" s="29" t="inlineStr">
        <is>
          <t>Qwen3-30B-A3B-Thinking-2507</t>
        </is>
      </c>
      <c r="B28" s="29" t="n">
        <v>30</v>
      </c>
      <c r="C28" s="29" t="n">
        <v>3</v>
      </c>
      <c r="D28" s="29" t="n">
        <v>48</v>
      </c>
      <c r="E28" s="29" t="n">
        <v>2048</v>
      </c>
      <c r="F28" s="29" t="n">
        <v>32</v>
      </c>
      <c r="G28" s="29" t="n">
        <v>4</v>
      </c>
      <c r="H28" s="29" t="n">
        <v>128</v>
      </c>
      <c r="I28" s="29" t="inlineStr">
        <is>
          <t>MoE/GQA (reasoning)</t>
        </is>
      </c>
      <c r="J28" s="29" t="n">
        <v>262144</v>
      </c>
      <c r="K28" s="29" t="n">
        <v>0</v>
      </c>
      <c r="L28" s="29" t="n">
        <v>0</v>
      </c>
      <c r="M28" s="29" t="n">
        <v>1.54</v>
      </c>
      <c r="N28" s="29" t="n">
        <v>28.99</v>
      </c>
      <c r="O28" s="29" t="n">
        <v>8</v>
      </c>
      <c r="P28" s="29" t="n">
        <v>128</v>
      </c>
    </row>
    <row r="29">
      <c r="A29" s="29" t="inlineStr">
        <is>
          <t>Qwen3-235B-A22B-Instruct-2507</t>
        </is>
      </c>
      <c r="B29" s="29" t="n">
        <v>235</v>
      </c>
      <c r="C29" s="29" t="n">
        <v>22</v>
      </c>
      <c r="D29" s="29" t="n">
        <v>94</v>
      </c>
      <c r="E29" s="29" t="n">
        <v>4096</v>
      </c>
      <c r="F29" s="29" t="n">
        <v>64</v>
      </c>
      <c r="G29" s="29" t="n">
        <v>4</v>
      </c>
      <c r="H29" s="29" t="n">
        <v>128</v>
      </c>
      <c r="I29" s="29" t="inlineStr">
        <is>
          <t>MoE/GQA (non-think)</t>
        </is>
      </c>
      <c r="J29" s="29" t="n">
        <v>262144</v>
      </c>
      <c r="K29" s="29" t="n">
        <v>0</v>
      </c>
      <c r="L29" s="29" t="n">
        <v>0</v>
      </c>
      <c r="M29" s="29" t="n">
        <v>8</v>
      </c>
      <c r="N29" s="29" t="n">
        <v>227.1</v>
      </c>
      <c r="O29" s="29" t="n">
        <v>8</v>
      </c>
      <c r="P29" s="29" t="n">
        <v>128</v>
      </c>
    </row>
    <row r="30">
      <c r="A30" s="29" t="inlineStr">
        <is>
          <t>Qwen3-235B-A22B-Thinking-2507</t>
        </is>
      </c>
      <c r="B30" s="29" t="n">
        <v>235</v>
      </c>
      <c r="C30" s="29" t="n">
        <v>22</v>
      </c>
      <c r="D30" s="29" t="n">
        <v>94</v>
      </c>
      <c r="E30" s="29" t="n">
        <v>4096</v>
      </c>
      <c r="F30" s="29" t="n">
        <v>64</v>
      </c>
      <c r="G30" s="29" t="n">
        <v>4</v>
      </c>
      <c r="H30" s="29" t="n">
        <v>128</v>
      </c>
      <c r="I30" s="29" t="inlineStr">
        <is>
          <t>MoE/GQA (reasoning)</t>
        </is>
      </c>
      <c r="J30" s="29" t="n">
        <v>262144</v>
      </c>
      <c r="K30" s="29" t="n">
        <v>0</v>
      </c>
      <c r="L30" s="29" t="n">
        <v>0</v>
      </c>
      <c r="M30" s="29" t="n">
        <v>8</v>
      </c>
      <c r="N30" s="29" t="n">
        <v>227.1</v>
      </c>
      <c r="O30" s="29" t="n">
        <v>8</v>
      </c>
      <c r="P30" s="29" t="n">
        <v>128</v>
      </c>
    </row>
    <row r="31">
      <c r="A31" s="29" t="inlineStr">
        <is>
          <t>Qwen3-Coder-30B-A3B-Instruct</t>
        </is>
      </c>
      <c r="B31" s="29" t="n">
        <v>30</v>
      </c>
      <c r="C31" s="29" t="n">
        <v>3</v>
      </c>
      <c r="D31" s="29" t="n">
        <v>48</v>
      </c>
      <c r="E31" s="29" t="n">
        <v>2048</v>
      </c>
      <c r="F31" s="29" t="n">
        <v>32</v>
      </c>
      <c r="G31" s="29" t="n">
        <v>4</v>
      </c>
      <c r="H31" s="29" t="n">
        <v>128</v>
      </c>
      <c r="I31" s="29" t="inlineStr">
        <is>
          <t>MoE/GQA (coder)</t>
        </is>
      </c>
      <c r="J31" s="29" t="n">
        <v>262144</v>
      </c>
      <c r="K31" s="29" t="n">
        <v>0</v>
      </c>
      <c r="L31" s="29" t="n">
        <v>0</v>
      </c>
      <c r="M31" s="29" t="n">
        <v>1.54</v>
      </c>
      <c r="N31" s="29" t="n">
        <v>28.99</v>
      </c>
      <c r="O31" s="29" t="n">
        <v>8</v>
      </c>
      <c r="P31" s="29" t="n">
        <v>128</v>
      </c>
    </row>
    <row r="32">
      <c r="A32" s="29" t="inlineStr">
        <is>
          <t>Qwen3-Coder-480B-A35B-Instruct</t>
        </is>
      </c>
      <c r="B32" s="29" t="n">
        <v>480</v>
      </c>
      <c r="C32" s="29" t="n">
        <v>35</v>
      </c>
      <c r="D32" s="29" t="n">
        <v>62</v>
      </c>
      <c r="E32" s="29" t="n">
        <v>6144</v>
      </c>
      <c r="F32" s="29" t="n">
        <v>96</v>
      </c>
      <c r="G32" s="29" t="n">
        <v>8</v>
      </c>
      <c r="H32" s="29" t="n">
        <v>128</v>
      </c>
      <c r="I32" s="29" t="inlineStr">
        <is>
          <t>MoE/GQA (coder)</t>
        </is>
      </c>
      <c r="J32" s="29" t="n">
        <v>262144</v>
      </c>
      <c r="K32" s="29" t="n">
        <v>0</v>
      </c>
      <c r="L32" s="29" t="n">
        <v>0</v>
      </c>
      <c r="M32" s="29" t="n">
        <v>12.07</v>
      </c>
      <c r="N32" s="29" t="n">
        <v>468.08</v>
      </c>
      <c r="O32" s="29" t="n">
        <v>8</v>
      </c>
      <c r="P32" s="29" t="n">
        <v>160</v>
      </c>
    </row>
    <row r="33">
      <c r="A33" s="29" t="inlineStr">
        <is>
          <t>Qwen3.5-27B</t>
        </is>
      </c>
      <c r="B33" s="29" t="n">
        <v>27</v>
      </c>
      <c r="C33" s="29" t="n">
        <v>27</v>
      </c>
      <c r="D33" s="29" t="n">
        <v>64</v>
      </c>
      <c r="E33" s="29" t="n">
        <v>5120</v>
      </c>
      <c r="F33" s="29" t="n">
        <v>24</v>
      </c>
      <c r="G33" s="29" t="n">
        <v>4</v>
      </c>
      <c r="H33" s="29" t="n">
        <v>256</v>
      </c>
      <c r="I33" s="29" t="inlineStr">
        <is>
          <t>hybrid/GQA</t>
        </is>
      </c>
      <c r="J33" s="29" t="n">
        <v>262144</v>
      </c>
      <c r="K33" s="29" t="n">
        <v>0</v>
      </c>
      <c r="L33" s="29" t="n">
        <v>0</v>
      </c>
      <c r="M33" s="29" t="n">
        <v>0</v>
      </c>
      <c r="N33" s="29" t="n">
        <v>0</v>
      </c>
      <c r="O33" s="29" t="n">
        <v>0</v>
      </c>
      <c r="P33" s="29" t="n">
        <v>0</v>
      </c>
    </row>
    <row r="34">
      <c r="A34" s="29" t="inlineStr">
        <is>
          <t>Qwen3.5-35B-A3B</t>
        </is>
      </c>
      <c r="B34" s="29" t="n">
        <v>35</v>
      </c>
      <c r="C34" s="29" t="n">
        <v>3</v>
      </c>
      <c r="D34" s="29" t="n">
        <v>40</v>
      </c>
      <c r="E34" s="29" t="n">
        <v>2048</v>
      </c>
      <c r="F34" s="29" t="n">
        <v>16</v>
      </c>
      <c r="G34" s="29" t="n">
        <v>2</v>
      </c>
      <c r="H34" s="29" t="n">
        <v>256</v>
      </c>
      <c r="I34" s="29" t="inlineStr">
        <is>
          <t>hybrid/MoE</t>
        </is>
      </c>
      <c r="J34" s="29" t="n">
        <v>262144</v>
      </c>
      <c r="K34" s="29" t="n">
        <v>0</v>
      </c>
      <c r="L34" s="29" t="n">
        <v>0</v>
      </c>
      <c r="M34" s="29" t="n">
        <v>2.5</v>
      </c>
      <c r="N34" s="29" t="n">
        <v>32.5</v>
      </c>
      <c r="O34" s="29" t="n">
        <v>8</v>
      </c>
      <c r="P34" s="29" t="n">
        <v>128</v>
      </c>
    </row>
    <row r="35">
      <c r="A35" s="29" t="inlineStr">
        <is>
          <t>Llama-3.1-8B</t>
        </is>
      </c>
      <c r="B35" s="29" t="n">
        <v>8</v>
      </c>
      <c r="C35" s="29" t="n">
        <v>8</v>
      </c>
      <c r="D35" s="29" t="n">
        <v>32</v>
      </c>
      <c r="E35" s="29" t="n">
        <v>4096</v>
      </c>
      <c r="F35" s="29" t="n">
        <v>32</v>
      </c>
      <c r="G35" s="29" t="n">
        <v>8</v>
      </c>
      <c r="H35" s="29" t="n">
        <v>128</v>
      </c>
      <c r="I35" s="29" t="inlineStr">
        <is>
          <t>dense/GQA</t>
        </is>
      </c>
      <c r="J35" s="29" t="n">
        <v>131072</v>
      </c>
      <c r="K35" s="29" t="n">
        <v>0</v>
      </c>
      <c r="L35" s="29" t="n">
        <v>0</v>
      </c>
      <c r="M35" s="29" t="n">
        <v>0</v>
      </c>
      <c r="N35" s="29" t="n">
        <v>0</v>
      </c>
      <c r="O35" s="29" t="n">
        <v>0</v>
      </c>
      <c r="P35" s="29" t="n">
        <v>0</v>
      </c>
    </row>
    <row r="36">
      <c r="A36" s="29" t="inlineStr">
        <is>
          <t>Llama-3.1-70B</t>
        </is>
      </c>
      <c r="B36" s="29" t="n">
        <v>70</v>
      </c>
      <c r="C36" s="29" t="n">
        <v>70</v>
      </c>
      <c r="D36" s="29" t="n">
        <v>80</v>
      </c>
      <c r="E36" s="29" t="n">
        <v>8192</v>
      </c>
      <c r="F36" s="29" t="n">
        <v>64</v>
      </c>
      <c r="G36" s="29" t="n">
        <v>8</v>
      </c>
      <c r="H36" s="29" t="n">
        <v>128</v>
      </c>
      <c r="I36" s="29" t="inlineStr">
        <is>
          <t>dense/GQA</t>
        </is>
      </c>
      <c r="J36" s="29" t="n">
        <v>131072</v>
      </c>
      <c r="K36" s="29" t="n">
        <v>0</v>
      </c>
      <c r="L36" s="29" t="n">
        <v>0</v>
      </c>
      <c r="M36" s="29" t="n">
        <v>0</v>
      </c>
      <c r="N36" s="29" t="n">
        <v>0</v>
      </c>
      <c r="O36" s="29" t="n">
        <v>0</v>
      </c>
      <c r="P36" s="29" t="n">
        <v>0</v>
      </c>
    </row>
    <row r="37">
      <c r="A37" s="29" t="inlineStr">
        <is>
          <t>Llama-3.1-405B</t>
        </is>
      </c>
      <c r="B37" s="29" t="n">
        <v>405</v>
      </c>
      <c r="C37" s="29" t="n">
        <v>405</v>
      </c>
      <c r="D37" s="29" t="n">
        <v>126</v>
      </c>
      <c r="E37" s="29" t="n">
        <v>16384</v>
      </c>
      <c r="F37" s="29" t="n">
        <v>128</v>
      </c>
      <c r="G37" s="29" t="n">
        <v>8</v>
      </c>
      <c r="H37" s="29" t="n">
        <v>128</v>
      </c>
      <c r="I37" s="29" t="inlineStr">
        <is>
          <t>dense/GQA</t>
        </is>
      </c>
      <c r="J37" s="29" t="n">
        <v>131072</v>
      </c>
      <c r="K37" s="29" t="n">
        <v>0</v>
      </c>
      <c r="L37" s="29" t="n">
        <v>0</v>
      </c>
      <c r="M37" s="29" t="n">
        <v>0</v>
      </c>
      <c r="N37" s="29" t="n">
        <v>0</v>
      </c>
      <c r="O37" s="29" t="n">
        <v>0</v>
      </c>
      <c r="P37" s="29" t="n">
        <v>0</v>
      </c>
    </row>
    <row r="38">
      <c r="A38" s="29" t="inlineStr">
        <is>
          <t>Llama-3.3-70B</t>
        </is>
      </c>
      <c r="B38" s="29" t="n">
        <v>70</v>
      </c>
      <c r="C38" s="29" t="n">
        <v>70</v>
      </c>
      <c r="D38" s="29" t="n">
        <v>80</v>
      </c>
      <c r="E38" s="29" t="n">
        <v>8192</v>
      </c>
      <c r="F38" s="29" t="n">
        <v>64</v>
      </c>
      <c r="G38" s="29" t="n">
        <v>8</v>
      </c>
      <c r="H38" s="29" t="n">
        <v>128</v>
      </c>
      <c r="I38" s="29" t="inlineStr">
        <is>
          <t>dense/GQA</t>
        </is>
      </c>
      <c r="J38" s="29" t="n">
        <v>131072</v>
      </c>
      <c r="K38" s="29" t="n">
        <v>0</v>
      </c>
      <c r="L38" s="29" t="n">
        <v>0</v>
      </c>
      <c r="M38" s="29" t="n">
        <v>0</v>
      </c>
      <c r="N38" s="29" t="n">
        <v>0</v>
      </c>
      <c r="O38" s="29" t="n">
        <v>0</v>
      </c>
      <c r="P38" s="29" t="n">
        <v>0</v>
      </c>
    </row>
    <row r="39">
      <c r="A39" s="29" t="inlineStr">
        <is>
          <t>Mistral-Large-2</t>
        </is>
      </c>
      <c r="B39" s="29" t="n">
        <v>123</v>
      </c>
      <c r="C39" s="29" t="n">
        <v>123</v>
      </c>
      <c r="D39" s="29" t="n">
        <v>88</v>
      </c>
      <c r="E39" s="29" t="n">
        <v>12288</v>
      </c>
      <c r="F39" s="29" t="n">
        <v>96</v>
      </c>
      <c r="G39" s="29" t="n">
        <v>8</v>
      </c>
      <c r="H39" s="29" t="n">
        <v>128</v>
      </c>
      <c r="I39" s="29" t="inlineStr">
        <is>
          <t>dense/GQA</t>
        </is>
      </c>
      <c r="J39" s="29" t="n">
        <v>131072</v>
      </c>
      <c r="K39" s="29" t="n">
        <v>0</v>
      </c>
      <c r="L39" s="29" t="n">
        <v>0</v>
      </c>
      <c r="M39" s="29" t="n">
        <v>0</v>
      </c>
      <c r="N39" s="29" t="n">
        <v>0</v>
      </c>
      <c r="O39" s="29" t="n">
        <v>0</v>
      </c>
      <c r="P39" s="29" t="n">
        <v>0</v>
      </c>
    </row>
    <row r="40">
      <c r="A40" s="29" t="inlineStr">
        <is>
          <t>Mixtral-8x7B</t>
        </is>
      </c>
      <c r="B40" s="29" t="n">
        <v>47</v>
      </c>
      <c r="C40" s="29" t="n">
        <v>13</v>
      </c>
      <c r="D40" s="29" t="n">
        <v>32</v>
      </c>
      <c r="E40" s="29" t="n">
        <v>4096</v>
      </c>
      <c r="F40" s="29" t="n">
        <v>32</v>
      </c>
      <c r="G40" s="29" t="n">
        <v>8</v>
      </c>
      <c r="H40" s="29" t="n">
        <v>128</v>
      </c>
      <c r="I40" s="29" t="inlineStr">
        <is>
          <t>MoE/GQA</t>
        </is>
      </c>
      <c r="J40" s="29" t="n">
        <v>32768</v>
      </c>
      <c r="K40" s="29" t="n">
        <v>0</v>
      </c>
      <c r="L40" s="29" t="n">
        <v>0</v>
      </c>
      <c r="M40" s="29" t="n">
        <v>1.61</v>
      </c>
      <c r="N40" s="29" t="n">
        <v>45.1</v>
      </c>
      <c r="O40" s="29" t="n">
        <v>2</v>
      </c>
      <c r="P40" s="29" t="n">
        <v>8</v>
      </c>
    </row>
    <row r="41">
      <c r="A41" s="29" t="inlineStr">
        <is>
          <t>Mixtral-8x22B</t>
        </is>
      </c>
      <c r="B41" s="29" t="n">
        <v>141</v>
      </c>
      <c r="C41" s="29" t="n">
        <v>39</v>
      </c>
      <c r="D41" s="29" t="n">
        <v>56</v>
      </c>
      <c r="E41" s="29" t="n">
        <v>6144</v>
      </c>
      <c r="F41" s="29" t="n">
        <v>48</v>
      </c>
      <c r="G41" s="29" t="n">
        <v>8</v>
      </c>
      <c r="H41" s="29" t="n">
        <v>128</v>
      </c>
      <c r="I41" s="29" t="inlineStr">
        <is>
          <t>MoE/GQA</t>
        </is>
      </c>
      <c r="J41" s="29" t="n">
        <v>65536</v>
      </c>
      <c r="K41" s="29" t="n">
        <v>0</v>
      </c>
      <c r="L41" s="29" t="n">
        <v>0</v>
      </c>
      <c r="M41" s="29" t="n">
        <v>5.33</v>
      </c>
      <c r="N41" s="29" t="n">
        <v>135.29</v>
      </c>
      <c r="O41" s="29" t="n">
        <v>2</v>
      </c>
      <c r="P41" s="29" t="n">
        <v>8</v>
      </c>
    </row>
    <row r="42">
      <c r="A42" s="29" t="inlineStr">
        <is>
          <t>DeepSeek-V3</t>
        </is>
      </c>
      <c r="B42" s="29" t="n">
        <v>671</v>
      </c>
      <c r="C42" s="29" t="n">
        <v>37</v>
      </c>
      <c r="D42" s="29" t="n">
        <v>61</v>
      </c>
      <c r="E42" s="29" t="n">
        <v>7168</v>
      </c>
      <c r="F42" s="29" t="n">
        <v>128</v>
      </c>
      <c r="G42" s="29" t="n">
        <v>128</v>
      </c>
      <c r="H42" s="29" t="n">
        <v>192</v>
      </c>
      <c r="I42" s="29" t="inlineStr">
        <is>
          <t>MoE/MLA</t>
        </is>
      </c>
      <c r="J42" s="29" t="n">
        <v>163840</v>
      </c>
      <c r="K42" s="29" t="n">
        <v>512</v>
      </c>
      <c r="L42" s="29" t="n">
        <v>64</v>
      </c>
      <c r="M42" s="29" t="n">
        <v>17.12</v>
      </c>
      <c r="N42" s="29" t="n">
        <v>653.91</v>
      </c>
      <c r="O42" s="29" t="n">
        <v>8</v>
      </c>
      <c r="P42" s="29" t="n">
        <v>256</v>
      </c>
    </row>
    <row r="43">
      <c r="A43" s="29" t="inlineStr">
        <is>
          <t>DeepSeek-R1</t>
        </is>
      </c>
      <c r="B43" s="29" t="n">
        <v>671</v>
      </c>
      <c r="C43" s="29" t="n">
        <v>37</v>
      </c>
      <c r="D43" s="29" t="n">
        <v>61</v>
      </c>
      <c r="E43" s="29" t="n">
        <v>7168</v>
      </c>
      <c r="F43" s="29" t="n">
        <v>128</v>
      </c>
      <c r="G43" s="29" t="n">
        <v>128</v>
      </c>
      <c r="H43" s="29" t="n">
        <v>192</v>
      </c>
      <c r="I43" s="29" t="inlineStr">
        <is>
          <t>MoE/MLA (reason.)</t>
        </is>
      </c>
      <c r="J43" s="29" t="n">
        <v>163840</v>
      </c>
      <c r="K43" s="29" t="n">
        <v>512</v>
      </c>
      <c r="L43" s="29" t="n">
        <v>64</v>
      </c>
      <c r="M43" s="29" t="n">
        <v>17.12</v>
      </c>
      <c r="N43" s="29" t="n">
        <v>653.91</v>
      </c>
      <c r="O43" s="29" t="n">
        <v>8</v>
      </c>
      <c r="P43" s="29" t="n">
        <v>256</v>
      </c>
    </row>
    <row r="44">
      <c r="A44" s="29" t="inlineStr">
        <is>
          <t>Qwen2.5-0.5B</t>
        </is>
      </c>
      <c r="B44" s="29" t="n">
        <v>0.5</v>
      </c>
      <c r="C44" s="29" t="n">
        <v>0.5</v>
      </c>
      <c r="D44" s="29" t="n">
        <v>24</v>
      </c>
      <c r="E44" s="29" t="n">
        <v>896</v>
      </c>
      <c r="F44" s="29" t="n">
        <v>14</v>
      </c>
      <c r="G44" s="29" t="n">
        <v>2</v>
      </c>
      <c r="H44" s="29" t="n">
        <v>64</v>
      </c>
      <c r="I44" s="29" t="inlineStr">
        <is>
          <t>dense/GQA</t>
        </is>
      </c>
      <c r="J44" s="29" t="n">
        <v>32768</v>
      </c>
      <c r="K44" s="29" t="n">
        <v>0</v>
      </c>
      <c r="L44" s="29" t="n">
        <v>0</v>
      </c>
      <c r="M44" s="29" t="n">
        <v>0</v>
      </c>
      <c r="N44" s="29" t="n">
        <v>0</v>
      </c>
      <c r="O44" s="29" t="n">
        <v>0</v>
      </c>
      <c r="P44" s="29" t="n">
        <v>0</v>
      </c>
    </row>
    <row r="45">
      <c r="A45" s="29" t="inlineStr">
        <is>
          <t>Qwen2.5-1.5B</t>
        </is>
      </c>
      <c r="B45" s="29" t="n">
        <v>1.5</v>
      </c>
      <c r="C45" s="29" t="n">
        <v>1.5</v>
      </c>
      <c r="D45" s="29" t="n">
        <v>28</v>
      </c>
      <c r="E45" s="29" t="n">
        <v>1536</v>
      </c>
      <c r="F45" s="29" t="n">
        <v>12</v>
      </c>
      <c r="G45" s="29" t="n">
        <v>2</v>
      </c>
      <c r="H45" s="29" t="n">
        <v>128</v>
      </c>
      <c r="I45" s="29" t="inlineStr">
        <is>
          <t>dense/GQA</t>
        </is>
      </c>
      <c r="J45" s="29" t="n">
        <v>131072</v>
      </c>
      <c r="K45" s="29" t="n">
        <v>0</v>
      </c>
      <c r="L45" s="29" t="n">
        <v>0</v>
      </c>
      <c r="M45" s="29" t="n">
        <v>0</v>
      </c>
      <c r="N45" s="29" t="n">
        <v>0</v>
      </c>
      <c r="O45" s="29" t="n">
        <v>0</v>
      </c>
      <c r="P45" s="29" t="n">
        <v>0</v>
      </c>
    </row>
    <row r="46">
      <c r="A46" s="29" t="inlineStr">
        <is>
          <t>Qwen2.5-3B</t>
        </is>
      </c>
      <c r="B46" s="29" t="n">
        <v>3</v>
      </c>
      <c r="C46" s="29" t="n">
        <v>3</v>
      </c>
      <c r="D46" s="29" t="n">
        <v>36</v>
      </c>
      <c r="E46" s="29" t="n">
        <v>2048</v>
      </c>
      <c r="F46" s="29" t="n">
        <v>16</v>
      </c>
      <c r="G46" s="29" t="n">
        <v>2</v>
      </c>
      <c r="H46" s="29" t="n">
        <v>128</v>
      </c>
      <c r="I46" s="29" t="inlineStr">
        <is>
          <t>dense/GQA</t>
        </is>
      </c>
      <c r="J46" s="29" t="n">
        <v>32768</v>
      </c>
      <c r="K46" s="29" t="n">
        <v>0</v>
      </c>
      <c r="L46" s="29" t="n">
        <v>0</v>
      </c>
      <c r="M46" s="29" t="n">
        <v>0</v>
      </c>
      <c r="N46" s="29" t="n">
        <v>0</v>
      </c>
      <c r="O46" s="29" t="n">
        <v>0</v>
      </c>
      <c r="P46" s="29" t="n">
        <v>0</v>
      </c>
    </row>
    <row r="47">
      <c r="A47" s="29" t="inlineStr">
        <is>
          <t>Qwen2.5-7B</t>
        </is>
      </c>
      <c r="B47" s="29" t="n">
        <v>7</v>
      </c>
      <c r="C47" s="29" t="n">
        <v>7</v>
      </c>
      <c r="D47" s="29" t="n">
        <v>28</v>
      </c>
      <c r="E47" s="29" t="n">
        <v>3584</v>
      </c>
      <c r="F47" s="29" t="n">
        <v>28</v>
      </c>
      <c r="G47" s="29" t="n">
        <v>4</v>
      </c>
      <c r="H47" s="29" t="n">
        <v>128</v>
      </c>
      <c r="I47" s="29" t="inlineStr">
        <is>
          <t>dense/GQA</t>
        </is>
      </c>
      <c r="J47" s="29" t="n">
        <v>131072</v>
      </c>
      <c r="K47" s="29" t="n">
        <v>0</v>
      </c>
      <c r="L47" s="29" t="n">
        <v>0</v>
      </c>
      <c r="M47" s="29" t="n">
        <v>0</v>
      </c>
      <c r="N47" s="29" t="n">
        <v>0</v>
      </c>
      <c r="O47" s="29" t="n">
        <v>0</v>
      </c>
      <c r="P47" s="29" t="n">
        <v>0</v>
      </c>
    </row>
    <row r="48">
      <c r="A48" s="29" t="inlineStr">
        <is>
          <t>Qwen2.5-14B</t>
        </is>
      </c>
      <c r="B48" s="29" t="n">
        <v>14</v>
      </c>
      <c r="C48" s="29" t="n">
        <v>14</v>
      </c>
      <c r="D48" s="29" t="n">
        <v>48</v>
      </c>
      <c r="E48" s="29" t="n">
        <v>5120</v>
      </c>
      <c r="F48" s="29" t="n">
        <v>40</v>
      </c>
      <c r="G48" s="29" t="n">
        <v>8</v>
      </c>
      <c r="H48" s="29" t="n">
        <v>128</v>
      </c>
      <c r="I48" s="29" t="inlineStr">
        <is>
          <t>dense/GQA</t>
        </is>
      </c>
      <c r="J48" s="29" t="n">
        <v>131072</v>
      </c>
      <c r="K48" s="29" t="n">
        <v>0</v>
      </c>
      <c r="L48" s="29" t="n">
        <v>0</v>
      </c>
      <c r="M48" s="29" t="n">
        <v>0</v>
      </c>
      <c r="N48" s="29" t="n">
        <v>0</v>
      </c>
      <c r="O48" s="29" t="n">
        <v>0</v>
      </c>
      <c r="P48" s="29" t="n">
        <v>0</v>
      </c>
    </row>
    <row r="49">
      <c r="A49" s="29" t="inlineStr">
        <is>
          <t>Qwen2.5-32B</t>
        </is>
      </c>
      <c r="B49" s="29" t="n">
        <v>32</v>
      </c>
      <c r="C49" s="29" t="n">
        <v>32</v>
      </c>
      <c r="D49" s="29" t="n">
        <v>64</v>
      </c>
      <c r="E49" s="29" t="n">
        <v>5120</v>
      </c>
      <c r="F49" s="29" t="n">
        <v>40</v>
      </c>
      <c r="G49" s="29" t="n">
        <v>8</v>
      </c>
      <c r="H49" s="29" t="n">
        <v>128</v>
      </c>
      <c r="I49" s="29" t="inlineStr">
        <is>
          <t>dense/GQA</t>
        </is>
      </c>
      <c r="J49" s="29" t="n">
        <v>131072</v>
      </c>
      <c r="K49" s="29" t="n">
        <v>0</v>
      </c>
      <c r="L49" s="29" t="n">
        <v>0</v>
      </c>
      <c r="M49" s="29" t="n">
        <v>0</v>
      </c>
      <c r="N49" s="29" t="n">
        <v>0</v>
      </c>
      <c r="O49" s="29" t="n">
        <v>0</v>
      </c>
      <c r="P49" s="29" t="n">
        <v>0</v>
      </c>
    </row>
    <row r="50">
      <c r="A50" s="29" t="inlineStr">
        <is>
          <t>Qwen2.5-72B</t>
        </is>
      </c>
      <c r="B50" s="29" t="n">
        <v>72</v>
      </c>
      <c r="C50" s="29" t="n">
        <v>72</v>
      </c>
      <c r="D50" s="29" t="n">
        <v>80</v>
      </c>
      <c r="E50" s="29" t="n">
        <v>8192</v>
      </c>
      <c r="F50" s="29" t="n">
        <v>64</v>
      </c>
      <c r="G50" s="29" t="n">
        <v>8</v>
      </c>
      <c r="H50" s="29" t="n">
        <v>128</v>
      </c>
      <c r="I50" s="29" t="inlineStr">
        <is>
          <t>dense/GQA</t>
        </is>
      </c>
      <c r="J50" s="29" t="n">
        <v>131072</v>
      </c>
      <c r="K50" s="29" t="n">
        <v>0</v>
      </c>
      <c r="L50" s="29" t="n">
        <v>0</v>
      </c>
      <c r="M50" s="29" t="n">
        <v>0</v>
      </c>
      <c r="N50" s="29" t="n">
        <v>0</v>
      </c>
      <c r="O50" s="29" t="n">
        <v>0</v>
      </c>
      <c r="P50" s="29" t="n">
        <v>0</v>
      </c>
    </row>
    <row r="51">
      <c r="A51" s="29" t="inlineStr">
        <is>
          <t>Qwen2.5-Coder-7B</t>
        </is>
      </c>
      <c r="B51" s="29" t="n">
        <v>7</v>
      </c>
      <c r="C51" s="29" t="n">
        <v>7</v>
      </c>
      <c r="D51" s="29" t="n">
        <v>28</v>
      </c>
      <c r="E51" s="29" t="n">
        <v>3584</v>
      </c>
      <c r="F51" s="29" t="n">
        <v>28</v>
      </c>
      <c r="G51" s="29" t="n">
        <v>4</v>
      </c>
      <c r="H51" s="29" t="n">
        <v>128</v>
      </c>
      <c r="I51" s="29" t="inlineStr">
        <is>
          <t>dense/GQA (coder)</t>
        </is>
      </c>
      <c r="J51" s="29" t="n">
        <v>32768</v>
      </c>
      <c r="K51" s="29" t="n">
        <v>0</v>
      </c>
      <c r="L51" s="29" t="n">
        <v>0</v>
      </c>
      <c r="M51" s="29" t="n">
        <v>0</v>
      </c>
      <c r="N51" s="29" t="n">
        <v>0</v>
      </c>
      <c r="O51" s="29" t="n">
        <v>0</v>
      </c>
      <c r="P51" s="29" t="n">
        <v>0</v>
      </c>
    </row>
    <row r="52">
      <c r="A52" s="29" t="inlineStr">
        <is>
          <t>Qwen2.5-Coder-14B</t>
        </is>
      </c>
      <c r="B52" s="29" t="n">
        <v>14</v>
      </c>
      <c r="C52" s="29" t="n">
        <v>14</v>
      </c>
      <c r="D52" s="29" t="n">
        <v>48</v>
      </c>
      <c r="E52" s="29" t="n">
        <v>5120</v>
      </c>
      <c r="F52" s="29" t="n">
        <v>40</v>
      </c>
      <c r="G52" s="29" t="n">
        <v>8</v>
      </c>
      <c r="H52" s="29" t="n">
        <v>128</v>
      </c>
      <c r="I52" s="29" t="inlineStr">
        <is>
          <t>dense/GQA (coder)</t>
        </is>
      </c>
      <c r="J52" s="29" t="n">
        <v>32768</v>
      </c>
      <c r="K52" s="29" t="n">
        <v>0</v>
      </c>
      <c r="L52" s="29" t="n">
        <v>0</v>
      </c>
      <c r="M52" s="29" t="n">
        <v>0</v>
      </c>
      <c r="N52" s="29" t="n">
        <v>0</v>
      </c>
      <c r="O52" s="29" t="n">
        <v>0</v>
      </c>
      <c r="P52" s="29" t="n">
        <v>0</v>
      </c>
    </row>
    <row r="53">
      <c r="A53" s="29" t="inlineStr">
        <is>
          <t>Qwen2.5-Coder-32B</t>
        </is>
      </c>
      <c r="B53" s="29" t="n">
        <v>32</v>
      </c>
      <c r="C53" s="29" t="n">
        <v>32</v>
      </c>
      <c r="D53" s="29" t="n">
        <v>64</v>
      </c>
      <c r="E53" s="29" t="n">
        <v>5120</v>
      </c>
      <c r="F53" s="29" t="n">
        <v>40</v>
      </c>
      <c r="G53" s="29" t="n">
        <v>8</v>
      </c>
      <c r="H53" s="29" t="n">
        <v>128</v>
      </c>
      <c r="I53" s="29" t="inlineStr">
        <is>
          <t>dense/GQA (coder)</t>
        </is>
      </c>
      <c r="J53" s="29" t="n">
        <v>32768</v>
      </c>
      <c r="K53" s="29" t="n">
        <v>0</v>
      </c>
      <c r="L53" s="29" t="n">
        <v>0</v>
      </c>
      <c r="M53" s="29" t="n">
        <v>0</v>
      </c>
      <c r="N53" s="29" t="n">
        <v>0</v>
      </c>
      <c r="O53" s="29" t="n">
        <v>0</v>
      </c>
      <c r="P53" s="29" t="n">
        <v>0</v>
      </c>
    </row>
    <row r="54">
      <c r="A54" s="29" t="inlineStr">
        <is>
          <t>Llama-3.2-1B</t>
        </is>
      </c>
      <c r="B54" s="29" t="n">
        <v>1</v>
      </c>
      <c r="C54" s="29" t="n">
        <v>1</v>
      </c>
      <c r="D54" s="29" t="n">
        <v>16</v>
      </c>
      <c r="E54" s="29" t="n">
        <v>2048</v>
      </c>
      <c r="F54" s="29" t="n">
        <v>32</v>
      </c>
      <c r="G54" s="29" t="n">
        <v>8</v>
      </c>
      <c r="H54" s="29" t="n">
        <v>64</v>
      </c>
      <c r="I54" s="29" t="inlineStr">
        <is>
          <t>dense/GQA</t>
        </is>
      </c>
      <c r="J54" s="29" t="n">
        <v>131072</v>
      </c>
      <c r="K54" s="29" t="n">
        <v>0</v>
      </c>
      <c r="L54" s="29" t="n">
        <v>0</v>
      </c>
      <c r="M54" s="29" t="n">
        <v>0</v>
      </c>
      <c r="N54" s="29" t="n">
        <v>0</v>
      </c>
      <c r="O54" s="29" t="n">
        <v>0</v>
      </c>
      <c r="P54" s="29" t="n">
        <v>0</v>
      </c>
    </row>
    <row r="55">
      <c r="A55" s="29" t="inlineStr">
        <is>
          <t>Llama-3.2-3B</t>
        </is>
      </c>
      <c r="B55" s="29" t="n">
        <v>3</v>
      </c>
      <c r="C55" s="29" t="n">
        <v>3</v>
      </c>
      <c r="D55" s="29" t="n">
        <v>28</v>
      </c>
      <c r="E55" s="29" t="n">
        <v>3072</v>
      </c>
      <c r="F55" s="29" t="n">
        <v>24</v>
      </c>
      <c r="G55" s="29" t="n">
        <v>8</v>
      </c>
      <c r="H55" s="29" t="n">
        <v>128</v>
      </c>
      <c r="I55" s="29" t="inlineStr">
        <is>
          <t>dense/GQA</t>
        </is>
      </c>
      <c r="J55" s="29" t="n">
        <v>131072</v>
      </c>
      <c r="K55" s="29" t="n">
        <v>0</v>
      </c>
      <c r="L55" s="29" t="n">
        <v>0</v>
      </c>
      <c r="M55" s="29" t="n">
        <v>0</v>
      </c>
      <c r="N55" s="29" t="n">
        <v>0</v>
      </c>
      <c r="O55" s="29" t="n">
        <v>0</v>
      </c>
      <c r="P55" s="29" t="n">
        <v>0</v>
      </c>
    </row>
    <row r="56">
      <c r="A56" s="29" t="inlineStr">
        <is>
          <t>Gemma-3-4B</t>
        </is>
      </c>
      <c r="B56" s="29" t="n">
        <v>4</v>
      </c>
      <c r="C56" s="29" t="n">
        <v>4</v>
      </c>
      <c r="D56" s="29" t="n">
        <v>34</v>
      </c>
      <c r="E56" s="29" t="n">
        <v>2560</v>
      </c>
      <c r="F56" s="29" t="n">
        <v>8</v>
      </c>
      <c r="G56" s="29" t="n">
        <v>4</v>
      </c>
      <c r="H56" s="29" t="n">
        <v>256</v>
      </c>
      <c r="I56" s="29" t="inlineStr">
        <is>
          <t>dense/GQA</t>
        </is>
      </c>
      <c r="J56" s="29" t="n">
        <v>131072</v>
      </c>
      <c r="K56" s="29" t="n">
        <v>0</v>
      </c>
      <c r="L56" s="29" t="n">
        <v>0</v>
      </c>
      <c r="M56" s="29" t="n">
        <v>0</v>
      </c>
      <c r="N56" s="29" t="n">
        <v>0</v>
      </c>
      <c r="O56" s="29" t="n">
        <v>0</v>
      </c>
      <c r="P56" s="29" t="n">
        <v>0</v>
      </c>
    </row>
    <row r="57">
      <c r="A57" s="29" t="inlineStr">
        <is>
          <t>Gemma-3-12B</t>
        </is>
      </c>
      <c r="B57" s="29" t="n">
        <v>12</v>
      </c>
      <c r="C57" s="29" t="n">
        <v>12</v>
      </c>
      <c r="D57" s="29" t="n">
        <v>48</v>
      </c>
      <c r="E57" s="29" t="n">
        <v>3840</v>
      </c>
      <c r="F57" s="29" t="n">
        <v>16</v>
      </c>
      <c r="G57" s="29" t="n">
        <v>8</v>
      </c>
      <c r="H57" s="29" t="n">
        <v>256</v>
      </c>
      <c r="I57" s="29" t="inlineStr">
        <is>
          <t>dense/GQA</t>
        </is>
      </c>
      <c r="J57" s="29" t="n">
        <v>131072</v>
      </c>
      <c r="K57" s="29" t="n">
        <v>0</v>
      </c>
      <c r="L57" s="29" t="n">
        <v>0</v>
      </c>
      <c r="M57" s="29" t="n">
        <v>0</v>
      </c>
      <c r="N57" s="29" t="n">
        <v>0</v>
      </c>
      <c r="O57" s="29" t="n">
        <v>0</v>
      </c>
      <c r="P57" s="29" t="n">
        <v>0</v>
      </c>
    </row>
    <row r="58">
      <c r="A58" s="29" t="inlineStr">
        <is>
          <t>Gemma-3-27B</t>
        </is>
      </c>
      <c r="B58" s="29" t="n">
        <v>27</v>
      </c>
      <c r="C58" s="29" t="n">
        <v>27</v>
      </c>
      <c r="D58" s="29" t="n">
        <v>62</v>
      </c>
      <c r="E58" s="29" t="n">
        <v>5376</v>
      </c>
      <c r="F58" s="29" t="n">
        <v>32</v>
      </c>
      <c r="G58" s="29" t="n">
        <v>16</v>
      </c>
      <c r="H58" s="29" t="n">
        <v>128</v>
      </c>
      <c r="I58" s="29" t="inlineStr">
        <is>
          <t>dense/GQA</t>
        </is>
      </c>
      <c r="J58" s="29" t="n">
        <v>131072</v>
      </c>
      <c r="K58" s="29" t="n">
        <v>0</v>
      </c>
      <c r="L58" s="29" t="n">
        <v>0</v>
      </c>
      <c r="M58" s="29" t="n">
        <v>0</v>
      </c>
      <c r="N58" s="29" t="n">
        <v>0</v>
      </c>
      <c r="O58" s="29" t="n">
        <v>0</v>
      </c>
      <c r="P58" s="29" t="n">
        <v>0</v>
      </c>
    </row>
    <row r="59">
      <c r="A59" s="29" t="inlineStr">
        <is>
          <t>Phi-3.5-mini-3.8B</t>
        </is>
      </c>
      <c r="B59" s="29" t="n">
        <v>3.8</v>
      </c>
      <c r="C59" s="29" t="n">
        <v>3.8</v>
      </c>
      <c r="D59" s="29" t="n">
        <v>32</v>
      </c>
      <c r="E59" s="29" t="n">
        <v>3072</v>
      </c>
      <c r="F59" s="29" t="n">
        <v>32</v>
      </c>
      <c r="G59" s="29" t="n">
        <v>32</v>
      </c>
      <c r="H59" s="29" t="n">
        <v>96</v>
      </c>
      <c r="I59" s="29" t="inlineStr">
        <is>
          <t>dense/MHA</t>
        </is>
      </c>
      <c r="J59" s="29" t="n">
        <v>131072</v>
      </c>
      <c r="K59" s="29" t="n">
        <v>0</v>
      </c>
      <c r="L59" s="29" t="n">
        <v>0</v>
      </c>
      <c r="M59" s="29" t="n">
        <v>0</v>
      </c>
      <c r="N59" s="29" t="n">
        <v>0</v>
      </c>
      <c r="O59" s="29" t="n">
        <v>0</v>
      </c>
      <c r="P59" s="29" t="n">
        <v>0</v>
      </c>
    </row>
    <row r="60">
      <c r="A60" s="29" t="inlineStr">
        <is>
          <t>Phi-3.5-MoE-42B</t>
        </is>
      </c>
      <c r="B60" s="29" t="n">
        <v>42</v>
      </c>
      <c r="C60" s="29" t="n">
        <v>6.6</v>
      </c>
      <c r="D60" s="29" t="n">
        <v>32</v>
      </c>
      <c r="E60" s="29" t="n">
        <v>4096</v>
      </c>
      <c r="F60" s="29" t="n">
        <v>32</v>
      </c>
      <c r="G60" s="29" t="n">
        <v>8</v>
      </c>
      <c r="H60" s="29" t="n">
        <v>128</v>
      </c>
      <c r="I60" s="29" t="inlineStr">
        <is>
          <t>MoE/GQA</t>
        </is>
      </c>
      <c r="J60" s="29" t="n">
        <v>131072</v>
      </c>
      <c r="K60" s="29" t="n">
        <v>0</v>
      </c>
      <c r="L60" s="29" t="n">
        <v>0</v>
      </c>
      <c r="M60" s="29" t="n">
        <v>1.5</v>
      </c>
      <c r="N60" s="29" t="n">
        <v>40.5</v>
      </c>
      <c r="O60" s="29" t="n">
        <v>2</v>
      </c>
      <c r="P60" s="29" t="n">
        <v>16</v>
      </c>
    </row>
    <row r="61">
      <c r="A61" s="29" t="inlineStr">
        <is>
          <t>DeepSeek-V2-236B</t>
        </is>
      </c>
      <c r="B61" s="29" t="n">
        <v>236</v>
      </c>
      <c r="C61" s="29" t="n">
        <v>21</v>
      </c>
      <c r="D61" s="29" t="n">
        <v>60</v>
      </c>
      <c r="E61" s="29" t="n">
        <v>5120</v>
      </c>
      <c r="F61" s="29" t="n">
        <v>128</v>
      </c>
      <c r="G61" s="29" t="n">
        <v>128</v>
      </c>
      <c r="H61" s="29" t="n">
        <v>192</v>
      </c>
      <c r="I61" s="29" t="inlineStr">
        <is>
          <t>MoE/MLA</t>
        </is>
      </c>
      <c r="J61" s="29" t="n">
        <v>163840</v>
      </c>
      <c r="K61" s="29" t="n">
        <v>512</v>
      </c>
      <c r="L61" s="29" t="n">
        <v>64</v>
      </c>
      <c r="M61" s="29" t="n">
        <v>13.02</v>
      </c>
      <c r="N61" s="29" t="n">
        <v>222.72</v>
      </c>
      <c r="O61" s="29" t="n">
        <v>6</v>
      </c>
      <c r="P61" s="29" t="n">
        <v>160</v>
      </c>
    </row>
    <row r="62">
      <c r="A62" s="29" t="inlineStr">
        <is>
          <t>DeepSeek-V2.5-236B</t>
        </is>
      </c>
      <c r="B62" s="29" t="n">
        <v>236</v>
      </c>
      <c r="C62" s="29" t="n">
        <v>21</v>
      </c>
      <c r="D62" s="29" t="n">
        <v>60</v>
      </c>
      <c r="E62" s="29" t="n">
        <v>5120</v>
      </c>
      <c r="F62" s="29" t="n">
        <v>128</v>
      </c>
      <c r="G62" s="29" t="n">
        <v>128</v>
      </c>
      <c r="H62" s="29" t="n">
        <v>192</v>
      </c>
      <c r="I62" s="29" t="inlineStr">
        <is>
          <t>MoE/MLA</t>
        </is>
      </c>
      <c r="J62" s="29" t="n">
        <v>163840</v>
      </c>
      <c r="K62" s="29" t="n">
        <v>512</v>
      </c>
      <c r="L62" s="29" t="n">
        <v>64</v>
      </c>
      <c r="M62" s="29" t="n">
        <v>13.02</v>
      </c>
      <c r="N62" s="29" t="n">
        <v>222.72</v>
      </c>
      <c r="O62" s="29" t="n">
        <v>6</v>
      </c>
      <c r="P62" s="29" t="n">
        <v>160</v>
      </c>
    </row>
    <row r="63">
      <c r="A63" s="29" t="inlineStr">
        <is>
          <t>DeepSeek-V2-Lite-16B</t>
        </is>
      </c>
      <c r="B63" s="29" t="n">
        <v>16</v>
      </c>
      <c r="C63" s="29" t="n">
        <v>2.4</v>
      </c>
      <c r="D63" s="29" t="n">
        <v>27</v>
      </c>
      <c r="E63" s="29" t="n">
        <v>2048</v>
      </c>
      <c r="F63" s="29" t="n">
        <v>16</v>
      </c>
      <c r="G63" s="29" t="n">
        <v>16</v>
      </c>
      <c r="H63" s="29" t="n">
        <v>192</v>
      </c>
      <c r="I63" s="29" t="inlineStr">
        <is>
          <t>MoE/MLA</t>
        </is>
      </c>
      <c r="J63" s="29" t="n">
        <v>163840</v>
      </c>
      <c r="K63" s="29" t="n">
        <v>512</v>
      </c>
      <c r="L63" s="29" t="n">
        <v>64</v>
      </c>
      <c r="M63" s="29" t="n">
        <v>1.31</v>
      </c>
      <c r="N63" s="29" t="n">
        <v>14.39</v>
      </c>
      <c r="O63" s="29" t="n">
        <v>6</v>
      </c>
      <c r="P63" s="29" t="n">
        <v>64</v>
      </c>
    </row>
    <row r="64">
      <c r="A64" s="29" t="inlineStr">
        <is>
          <t>Command-R-35B</t>
        </is>
      </c>
      <c r="B64" s="29" t="n">
        <v>35</v>
      </c>
      <c r="C64" s="29" t="n">
        <v>35</v>
      </c>
      <c r="D64" s="29" t="n">
        <v>40</v>
      </c>
      <c r="E64" s="29" t="n">
        <v>8192</v>
      </c>
      <c r="F64" s="29" t="n">
        <v>64</v>
      </c>
      <c r="G64" s="29" t="n">
        <v>64</v>
      </c>
      <c r="H64" s="29" t="n">
        <v>128</v>
      </c>
      <c r="I64" s="29" t="inlineStr">
        <is>
          <t>dense/MHA</t>
        </is>
      </c>
      <c r="J64" s="29" t="n">
        <v>131072</v>
      </c>
      <c r="K64" s="29" t="n">
        <v>0</v>
      </c>
      <c r="L64" s="29" t="n">
        <v>0</v>
      </c>
      <c r="M64" s="29" t="n">
        <v>0</v>
      </c>
      <c r="N64" s="29" t="n">
        <v>0</v>
      </c>
      <c r="O64" s="29" t="n">
        <v>0</v>
      </c>
      <c r="P64" s="29" t="n">
        <v>0</v>
      </c>
    </row>
    <row r="65">
      <c r="A65" s="29" t="inlineStr">
        <is>
          <t>Command-R+-104B</t>
        </is>
      </c>
      <c r="B65" s="29" t="n">
        <v>104</v>
      </c>
      <c r="C65" s="29" t="n">
        <v>104</v>
      </c>
      <c r="D65" s="29" t="n">
        <v>64</v>
      </c>
      <c r="E65" s="29" t="n">
        <v>12288</v>
      </c>
      <c r="F65" s="29" t="n">
        <v>96</v>
      </c>
      <c r="G65" s="29" t="n">
        <v>8</v>
      </c>
      <c r="H65" s="29" t="n">
        <v>128</v>
      </c>
      <c r="I65" s="29" t="inlineStr">
        <is>
          <t>dense/GQA</t>
        </is>
      </c>
      <c r="J65" s="29" t="n">
        <v>131072</v>
      </c>
      <c r="K65" s="29" t="n">
        <v>0</v>
      </c>
      <c r="L65" s="29" t="n">
        <v>0</v>
      </c>
      <c r="M65" s="29" t="n">
        <v>0</v>
      </c>
      <c r="N65" s="29" t="n">
        <v>0</v>
      </c>
      <c r="O65" s="29" t="n">
        <v>0</v>
      </c>
      <c r="P65" s="29" t="n">
        <v>0</v>
      </c>
    </row>
    <row r="66">
      <c r="A66" s="29" t="inlineStr">
        <is>
          <t>Yi-1.5-9B</t>
        </is>
      </c>
      <c r="B66" s="29" t="n">
        <v>9</v>
      </c>
      <c r="C66" s="29" t="n">
        <v>9</v>
      </c>
      <c r="D66" s="29" t="n">
        <v>48</v>
      </c>
      <c r="E66" s="29" t="n">
        <v>4096</v>
      </c>
      <c r="F66" s="29" t="n">
        <v>32</v>
      </c>
      <c r="G66" s="29" t="n">
        <v>4</v>
      </c>
      <c r="H66" s="29" t="n">
        <v>128</v>
      </c>
      <c r="I66" s="29" t="inlineStr">
        <is>
          <t>dense/GQA</t>
        </is>
      </c>
      <c r="J66" s="29" t="n">
        <v>4096</v>
      </c>
      <c r="K66" s="29" t="n">
        <v>0</v>
      </c>
      <c r="L66" s="29" t="n">
        <v>0</v>
      </c>
      <c r="M66" s="29" t="n">
        <v>0</v>
      </c>
      <c r="N66" s="29" t="n">
        <v>0</v>
      </c>
      <c r="O66" s="29" t="n">
        <v>0</v>
      </c>
      <c r="P66" s="29" t="n">
        <v>0</v>
      </c>
    </row>
    <row r="67">
      <c r="A67" s="29" t="inlineStr">
        <is>
          <t>Yi-1.5-34B</t>
        </is>
      </c>
      <c r="B67" s="29" t="n">
        <v>34</v>
      </c>
      <c r="C67" s="29" t="n">
        <v>34</v>
      </c>
      <c r="D67" s="29" t="n">
        <v>60</v>
      </c>
      <c r="E67" s="29" t="n">
        <v>7168</v>
      </c>
      <c r="F67" s="29" t="n">
        <v>56</v>
      </c>
      <c r="G67" s="29" t="n">
        <v>8</v>
      </c>
      <c r="H67" s="29" t="n">
        <v>128</v>
      </c>
      <c r="I67" s="29" t="inlineStr">
        <is>
          <t>dense/GQA</t>
        </is>
      </c>
      <c r="J67" s="29" t="n">
        <v>4096</v>
      </c>
      <c r="K67" s="29" t="n">
        <v>0</v>
      </c>
      <c r="L67" s="29" t="n">
        <v>0</v>
      </c>
      <c r="M67" s="29" t="n">
        <v>0</v>
      </c>
      <c r="N67" s="29" t="n">
        <v>0</v>
      </c>
      <c r="O67" s="29" t="n">
        <v>0</v>
      </c>
      <c r="P67" s="29" t="n">
        <v>0</v>
      </c>
    </row>
    <row r="68">
      <c r="A68" s="29" t="inlineStr">
        <is>
          <t>GLM-4-9B</t>
        </is>
      </c>
      <c r="B68" s="29" t="n">
        <v>9</v>
      </c>
      <c r="C68" s="29" t="n">
        <v>9</v>
      </c>
      <c r="D68" s="29" t="n">
        <v>40</v>
      </c>
      <c r="E68" s="29" t="n">
        <v>4096</v>
      </c>
      <c r="F68" s="29" t="n">
        <v>32</v>
      </c>
      <c r="G68" s="29" t="n">
        <v>2</v>
      </c>
      <c r="H68" s="29" t="n">
        <v>128</v>
      </c>
      <c r="I68" s="29" t="inlineStr">
        <is>
          <t>dense/GQA</t>
        </is>
      </c>
      <c r="J68" s="29" t="n">
        <v>131072</v>
      </c>
      <c r="K68" s="29" t="n">
        <v>0</v>
      </c>
      <c r="L68" s="29" t="n">
        <v>0</v>
      </c>
      <c r="M68" s="29" t="n">
        <v>0</v>
      </c>
      <c r="N68" s="29" t="n">
        <v>0</v>
      </c>
      <c r="O68" s="29" t="n">
        <v>0</v>
      </c>
      <c r="P68" s="29" t="n">
        <v>0</v>
      </c>
    </row>
    <row r="69">
      <c r="A69" s="29" t="inlineStr">
        <is>
          <t>GLM-4-32B-0414</t>
        </is>
      </c>
      <c r="B69" s="29" t="n">
        <v>32</v>
      </c>
      <c r="C69" s="29" t="n">
        <v>32</v>
      </c>
      <c r="D69" s="29" t="n">
        <v>61</v>
      </c>
      <c r="E69" s="29" t="n">
        <v>6144</v>
      </c>
      <c r="F69" s="29" t="n">
        <v>48</v>
      </c>
      <c r="G69" s="29" t="n">
        <v>2</v>
      </c>
      <c r="H69" s="29" t="n">
        <v>128</v>
      </c>
      <c r="I69" s="29" t="inlineStr">
        <is>
          <t>dense/GQA</t>
        </is>
      </c>
      <c r="J69" s="29" t="n">
        <v>32768</v>
      </c>
      <c r="K69" s="29" t="n">
        <v>0</v>
      </c>
      <c r="L69" s="29" t="n">
        <v>0</v>
      </c>
      <c r="M69" s="29" t="n">
        <v>0</v>
      </c>
      <c r="N69" s="29" t="n">
        <v>0</v>
      </c>
      <c r="O69" s="29" t="n">
        <v>0</v>
      </c>
      <c r="P69" s="29" t="n">
        <v>0</v>
      </c>
    </row>
    <row r="70">
      <c r="A70" s="29" t="inlineStr">
        <is>
          <t>Ministral-8B</t>
        </is>
      </c>
      <c r="B70" s="29" t="n">
        <v>8</v>
      </c>
      <c r="C70" s="29" t="n">
        <v>8</v>
      </c>
      <c r="D70" s="29" t="n">
        <v>36</v>
      </c>
      <c r="E70" s="29" t="n">
        <v>4096</v>
      </c>
      <c r="F70" s="29" t="n">
        <v>32</v>
      </c>
      <c r="G70" s="29" t="n">
        <v>8</v>
      </c>
      <c r="H70" s="29" t="n">
        <v>128</v>
      </c>
      <c r="I70" s="29" t="inlineStr">
        <is>
          <t>dense/GQA</t>
        </is>
      </c>
      <c r="J70" s="29" t="n">
        <v>32768</v>
      </c>
      <c r="K70" s="29" t="n">
        <v>0</v>
      </c>
      <c r="L70" s="29" t="n">
        <v>0</v>
      </c>
      <c r="M70" s="29" t="n">
        <v>0</v>
      </c>
      <c r="N70" s="29" t="n">
        <v>0</v>
      </c>
      <c r="O70" s="29" t="n">
        <v>0</v>
      </c>
      <c r="P70" s="29" t="n">
        <v>0</v>
      </c>
    </row>
    <row r="71">
      <c r="A71" s="29" t="inlineStr">
        <is>
          <t>Mistral-Nemo-12B</t>
        </is>
      </c>
      <c r="B71" s="29" t="n">
        <v>12</v>
      </c>
      <c r="C71" s="29" t="n">
        <v>12</v>
      </c>
      <c r="D71" s="29" t="n">
        <v>40</v>
      </c>
      <c r="E71" s="29" t="n">
        <v>5120</v>
      </c>
      <c r="F71" s="29" t="n">
        <v>32</v>
      </c>
      <c r="G71" s="29" t="n">
        <v>8</v>
      </c>
      <c r="H71" s="29" t="n">
        <v>128</v>
      </c>
      <c r="I71" s="29" t="inlineStr">
        <is>
          <t>dense/GQA</t>
        </is>
      </c>
      <c r="J71" s="29" t="n">
        <v>131072</v>
      </c>
      <c r="K71" s="29" t="n">
        <v>0</v>
      </c>
      <c r="L71" s="29" t="n">
        <v>0</v>
      </c>
      <c r="M71" s="29" t="n">
        <v>0</v>
      </c>
      <c r="N71" s="29" t="n">
        <v>0</v>
      </c>
      <c r="O71" s="29" t="n">
        <v>0</v>
      </c>
      <c r="P71" s="29" t="n">
        <v>0</v>
      </c>
    </row>
    <row r="72">
      <c r="A72" s="29" t="inlineStr">
        <is>
          <t>Mistral-Small-22B</t>
        </is>
      </c>
      <c r="B72" s="29" t="n">
        <v>22</v>
      </c>
      <c r="C72" s="29" t="n">
        <v>22</v>
      </c>
      <c r="D72" s="29" t="n">
        <v>56</v>
      </c>
      <c r="E72" s="29" t="n">
        <v>6144</v>
      </c>
      <c r="F72" s="29" t="n">
        <v>48</v>
      </c>
      <c r="G72" s="29" t="n">
        <v>8</v>
      </c>
      <c r="H72" s="29" t="n">
        <v>128</v>
      </c>
      <c r="I72" s="29" t="inlineStr">
        <is>
          <t>dense/GQA</t>
        </is>
      </c>
      <c r="J72" s="29" t="n">
        <v>32768</v>
      </c>
      <c r="K72" s="29" t="n">
        <v>0</v>
      </c>
      <c r="L72" s="29" t="n">
        <v>0</v>
      </c>
      <c r="M72" s="29" t="n">
        <v>0</v>
      </c>
      <c r="N72" s="29" t="n">
        <v>0</v>
      </c>
      <c r="O72" s="29" t="n">
        <v>0</v>
      </c>
      <c r="P72" s="29" t="n">
        <v>0</v>
      </c>
    </row>
    <row r="73">
      <c r="A73" s="29" t="inlineStr">
        <is>
          <t>Mistral-Small-3.1-24B</t>
        </is>
      </c>
      <c r="B73" s="29" t="n">
        <v>24</v>
      </c>
      <c r="C73" s="29" t="n">
        <v>24</v>
      </c>
      <c r="D73" s="29" t="n">
        <v>40</v>
      </c>
      <c r="E73" s="29" t="n">
        <v>5120</v>
      </c>
      <c r="F73" s="29" t="n">
        <v>32</v>
      </c>
      <c r="G73" s="29" t="n">
        <v>8</v>
      </c>
      <c r="H73" s="29" t="n">
        <v>128</v>
      </c>
      <c r="I73" s="29" t="inlineStr">
        <is>
          <t>dense/GQA</t>
        </is>
      </c>
      <c r="J73" s="29" t="n">
        <v>131072</v>
      </c>
      <c r="K73" s="29" t="n">
        <v>0</v>
      </c>
      <c r="L73" s="29" t="n">
        <v>0</v>
      </c>
      <c r="M73" s="29" t="n">
        <v>0</v>
      </c>
      <c r="N73" s="29" t="n">
        <v>0</v>
      </c>
      <c r="O73" s="29" t="n">
        <v>0</v>
      </c>
      <c r="P73" s="29" t="n">
        <v>0</v>
      </c>
    </row>
    <row r="74">
      <c r="A74" s="29" t="inlineStr">
        <is>
          <t>Falcon-3-7B</t>
        </is>
      </c>
      <c r="B74" s="29" t="n">
        <v>7</v>
      </c>
      <c r="C74" s="29" t="n">
        <v>7</v>
      </c>
      <c r="D74" s="29" t="n">
        <v>28</v>
      </c>
      <c r="E74" s="29" t="n">
        <v>3072</v>
      </c>
      <c r="F74" s="29" t="n">
        <v>12</v>
      </c>
      <c r="G74" s="29" t="n">
        <v>4</v>
      </c>
      <c r="H74" s="29" t="n">
        <v>256</v>
      </c>
      <c r="I74" s="29" t="inlineStr">
        <is>
          <t>dense/GQA</t>
        </is>
      </c>
      <c r="J74" s="29" t="n">
        <v>32768</v>
      </c>
      <c r="K74" s="29" t="n">
        <v>0</v>
      </c>
      <c r="L74" s="29" t="n">
        <v>0</v>
      </c>
      <c r="M74" s="29" t="n">
        <v>0</v>
      </c>
      <c r="N74" s="29" t="n">
        <v>0</v>
      </c>
      <c r="O74" s="29" t="n">
        <v>0</v>
      </c>
      <c r="P74" s="29" t="n">
        <v>0</v>
      </c>
    </row>
    <row r="75">
      <c r="A75" s="29" t="inlineStr">
        <is>
          <t>Falcon-3-10B</t>
        </is>
      </c>
      <c r="B75" s="29" t="n">
        <v>10</v>
      </c>
      <c r="C75" s="29" t="n">
        <v>10</v>
      </c>
      <c r="D75" s="29" t="n">
        <v>40</v>
      </c>
      <c r="E75" s="29" t="n">
        <v>3072</v>
      </c>
      <c r="F75" s="29" t="n">
        <v>12</v>
      </c>
      <c r="G75" s="29" t="n">
        <v>4</v>
      </c>
      <c r="H75" s="29" t="n">
        <v>256</v>
      </c>
      <c r="I75" s="29" t="inlineStr">
        <is>
          <t>dense/GQA</t>
        </is>
      </c>
      <c r="J75" s="29" t="n">
        <v>32768</v>
      </c>
      <c r="K75" s="29" t="n">
        <v>0</v>
      </c>
      <c r="L75" s="29" t="n">
        <v>0</v>
      </c>
      <c r="M75" s="29" t="n">
        <v>0</v>
      </c>
      <c r="N75" s="29" t="n">
        <v>0</v>
      </c>
      <c r="O75" s="29" t="n">
        <v>0</v>
      </c>
      <c r="P75" s="29" t="n">
        <v>0</v>
      </c>
    </row>
    <row r="76">
      <c r="A76" s="29" t="inlineStr">
        <is>
          <t>Nemotron-4-340B</t>
        </is>
      </c>
      <c r="B76" s="29" t="n">
        <v>340</v>
      </c>
      <c r="C76" s="29" t="n">
        <v>340</v>
      </c>
      <c r="D76" s="29" t="n">
        <v>96</v>
      </c>
      <c r="E76" s="29" t="n">
        <v>18432</v>
      </c>
      <c r="F76" s="29" t="n">
        <v>96</v>
      </c>
      <c r="G76" s="29" t="n">
        <v>8</v>
      </c>
      <c r="H76" s="29" t="n">
        <v>192</v>
      </c>
      <c r="I76" s="29" t="inlineStr">
        <is>
          <t>dense/GQA</t>
        </is>
      </c>
      <c r="J76" s="29" t="n">
        <v>4096</v>
      </c>
      <c r="K76" s="29" t="n">
        <v>0</v>
      </c>
      <c r="L76" s="29" t="n">
        <v>0</v>
      </c>
      <c r="M76" s="29" t="n">
        <v>0</v>
      </c>
      <c r="N76" s="29" t="n">
        <v>0</v>
      </c>
      <c r="O76" s="29" t="n">
        <v>0</v>
      </c>
      <c r="P76" s="29" t="n">
        <v>0</v>
      </c>
    </row>
    <row r="77">
      <c r="A77" s="29" t="inlineStr">
        <is>
          <t>Gemma-2-9B</t>
        </is>
      </c>
      <c r="B77" s="29" t="n">
        <v>9</v>
      </c>
      <c r="C77" s="29" t="n">
        <v>9</v>
      </c>
      <c r="D77" s="29" t="n">
        <v>42</v>
      </c>
      <c r="E77" s="29" t="n">
        <v>3584</v>
      </c>
      <c r="F77" s="29" t="n">
        <v>16</v>
      </c>
      <c r="G77" s="29" t="n">
        <v>8</v>
      </c>
      <c r="H77" s="29" t="n">
        <v>256</v>
      </c>
      <c r="I77" s="29" t="inlineStr">
        <is>
          <t>dense/GQA</t>
        </is>
      </c>
      <c r="J77" s="29" t="n">
        <v>8192</v>
      </c>
      <c r="K77" s="29" t="n">
        <v>0</v>
      </c>
      <c r="L77" s="29" t="n">
        <v>0</v>
      </c>
      <c r="M77" s="29" t="n">
        <v>0</v>
      </c>
      <c r="N77" s="29" t="n">
        <v>0</v>
      </c>
      <c r="O77" s="29" t="n">
        <v>0</v>
      </c>
      <c r="P77" s="29" t="n">
        <v>0</v>
      </c>
    </row>
    <row r="78">
      <c r="A78" s="29" t="inlineStr">
        <is>
          <t>Gemma-2-27B</t>
        </is>
      </c>
      <c r="B78" s="29" t="n">
        <v>27</v>
      </c>
      <c r="C78" s="29" t="n">
        <v>27</v>
      </c>
      <c r="D78" s="29" t="n">
        <v>46</v>
      </c>
      <c r="E78" s="29" t="n">
        <v>4608</v>
      </c>
      <c r="F78" s="29" t="n">
        <v>32</v>
      </c>
      <c r="G78" s="29" t="n">
        <v>16</v>
      </c>
      <c r="H78" s="29" t="n">
        <v>128</v>
      </c>
      <c r="I78" s="29" t="inlineStr">
        <is>
          <t>dense/GQA</t>
        </is>
      </c>
      <c r="J78" s="29" t="n">
        <v>8192</v>
      </c>
      <c r="K78" s="29" t="n">
        <v>0</v>
      </c>
      <c r="L78" s="29" t="n">
        <v>0</v>
      </c>
      <c r="M78" s="29" t="n">
        <v>0</v>
      </c>
      <c r="N78" s="29" t="n">
        <v>0</v>
      </c>
      <c r="O78" s="29" t="n">
        <v>0</v>
      </c>
      <c r="P78" s="29" t="n">
        <v>0</v>
      </c>
    </row>
    <row r="79">
      <c r="A79" s="29" t="inlineStr">
        <is>
          <t>Phi-4-14B</t>
        </is>
      </c>
      <c r="B79" s="29" t="n">
        <v>14</v>
      </c>
      <c r="C79" s="29" t="n">
        <v>14</v>
      </c>
      <c r="D79" s="29" t="n">
        <v>40</v>
      </c>
      <c r="E79" s="29" t="n">
        <v>5120</v>
      </c>
      <c r="F79" s="29" t="n">
        <v>40</v>
      </c>
      <c r="G79" s="29" t="n">
        <v>10</v>
      </c>
      <c r="H79" s="29" t="n">
        <v>128</v>
      </c>
      <c r="I79" s="29" t="inlineStr">
        <is>
          <t>dense/GQA</t>
        </is>
      </c>
      <c r="J79" s="29" t="n">
        <v>16384</v>
      </c>
      <c r="K79" s="29" t="n">
        <v>0</v>
      </c>
      <c r="L79" s="29" t="n">
        <v>0</v>
      </c>
      <c r="M79" s="29" t="n">
        <v>0</v>
      </c>
      <c r="N79" s="29" t="n">
        <v>0</v>
      </c>
      <c r="O79" s="29" t="n">
        <v>0</v>
      </c>
      <c r="P79" s="29" t="n">
        <v>0</v>
      </c>
    </row>
    <row r="80">
      <c r="A80" s="29" t="inlineStr">
        <is>
          <t>GPT-OSS-20B</t>
        </is>
      </c>
      <c r="B80" s="29" t="n">
        <v>21</v>
      </c>
      <c r="C80" s="29" t="n">
        <v>1.8</v>
      </c>
      <c r="D80" s="29" t="n">
        <v>24</v>
      </c>
      <c r="E80" s="29" t="n">
        <v>2880</v>
      </c>
      <c r="F80" s="29" t="n">
        <v>64</v>
      </c>
      <c r="G80" s="29" t="n">
        <v>8</v>
      </c>
      <c r="H80" s="29" t="n">
        <v>64</v>
      </c>
      <c r="I80" s="29" t="inlineStr">
        <is>
          <t>MoE/GQA</t>
        </is>
      </c>
      <c r="J80" s="29" t="n">
        <v>131072</v>
      </c>
      <c r="K80" s="29" t="n">
        <v>0</v>
      </c>
      <c r="L80" s="29" t="n">
        <v>0</v>
      </c>
      <c r="M80" s="29" t="n">
        <v>1.8</v>
      </c>
      <c r="N80" s="29" t="n">
        <v>19.11</v>
      </c>
      <c r="O80" s="29" t="n">
        <v>4</v>
      </c>
      <c r="P80" s="29" t="n">
        <v>32</v>
      </c>
    </row>
    <row r="81">
      <c r="A81" s="29" t="inlineStr">
        <is>
          <t>GPT-OSS-120B</t>
        </is>
      </c>
      <c r="B81" s="29" t="n">
        <v>117</v>
      </c>
      <c r="C81" s="29" t="n">
        <v>5</v>
      </c>
      <c r="D81" s="29" t="n">
        <v>36</v>
      </c>
      <c r="E81" s="29" t="n">
        <v>2880</v>
      </c>
      <c r="F81" s="29" t="n">
        <v>64</v>
      </c>
      <c r="G81" s="29" t="n">
        <v>8</v>
      </c>
      <c r="H81" s="29" t="n">
        <v>64</v>
      </c>
      <c r="I81" s="29" t="inlineStr">
        <is>
          <t>MoE/GQA</t>
        </is>
      </c>
      <c r="J81" s="29" t="n">
        <v>131072</v>
      </c>
      <c r="K81" s="29" t="n">
        <v>0</v>
      </c>
      <c r="L81" s="29" t="n">
        <v>0</v>
      </c>
      <c r="M81" s="29" t="n">
        <v>2.13</v>
      </c>
      <c r="N81" s="29" t="n">
        <v>114.66</v>
      </c>
      <c r="O81" s="29" t="n">
        <v>4</v>
      </c>
      <c r="P81" s="29" t="n">
        <v>128</v>
      </c>
    </row>
    <row r="87">
      <c r="A87" s="5" t="inlineStr">
        <is>
          <t>Квантизация весов</t>
        </is>
      </c>
      <c r="B87" s="6" t="n"/>
      <c r="C87" s="7" t="n"/>
    </row>
    <row r="88">
      <c r="A88" s="28" t="inlineStr">
        <is>
          <t>Формат</t>
        </is>
      </c>
      <c r="B88" s="28" t="inlineStr">
        <is>
          <t>B_quant (байт)</t>
        </is>
      </c>
      <c r="C88" s="28" t="inlineStr">
        <is>
          <t>Описание</t>
        </is>
      </c>
    </row>
    <row r="89">
      <c r="A89" s="29" t="inlineStr">
        <is>
          <t>FP32</t>
        </is>
      </c>
      <c r="B89" s="29" t="n">
        <v>4</v>
      </c>
      <c r="C89" s="29" t="inlineStr">
        <is>
          <t>Полная точность — обучение и исследование</t>
        </is>
      </c>
    </row>
    <row r="90">
      <c r="A90" s="29" t="inlineStr">
        <is>
          <t>FP16</t>
        </is>
      </c>
      <c r="B90" s="29" t="n">
        <v>2</v>
      </c>
      <c r="C90" s="29" t="inlineStr">
        <is>
          <t>Стандарт для инференса с высокой точностью</t>
        </is>
      </c>
    </row>
    <row r="91">
      <c r="A91" s="29" t="inlineStr">
        <is>
          <t>BF16</t>
        </is>
      </c>
      <c r="B91" s="29" t="n">
        <v>2</v>
      </c>
      <c r="C91" s="29" t="inlineStr">
        <is>
          <t>Стандарт для Qwen/Llama/DeepSeek native weights</t>
        </is>
      </c>
    </row>
    <row r="92">
      <c r="A92" s="29" t="inlineStr">
        <is>
          <t>FP8</t>
        </is>
      </c>
      <c r="B92" s="29" t="n">
        <v>1</v>
      </c>
      <c r="C92" s="29" t="inlineStr">
        <is>
          <t>Baseline для современных инференс-движков</t>
        </is>
      </c>
    </row>
    <row r="93">
      <c r="A93" s="29" t="inlineStr">
        <is>
          <t>FP4</t>
        </is>
      </c>
      <c r="B93" s="29" t="n">
        <v>0.5</v>
      </c>
      <c r="C93" s="29" t="inlineStr">
        <is>
          <t>NVFP4/MXFP4 на Blackwell (B200/GB200/B300)</t>
        </is>
      </c>
    </row>
    <row r="94">
      <c r="A94" s="29" t="inlineStr">
        <is>
          <t>INT4</t>
        </is>
      </c>
      <c r="B94" s="29" t="n">
        <v>0.5</v>
      </c>
      <c r="C94" s="29" t="inlineStr">
        <is>
          <t>GPTQ/AWQ — агрессивная квантизация</t>
        </is>
      </c>
    </row>
  </sheetData>
  <mergeCells count="3">
    <mergeCell ref="A87:C87"/>
    <mergeCell ref="A22:P22"/>
    <mergeCell ref="A1:P1"/>
  </mergeCells>
  <printOptions horizontalCentered="1"/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2026-05-06T18:43:27Z</dcterms:created>
  <dcterms:modified xmlns:dcterms="http://purl.org/dc/terms/" xmlns:xsi="http://www.w3.org/2001/XMLSchema-instance" xsi:type="dcterms:W3CDTF">2026-05-06T18:43:27Z</dcterms:modified>
</cp:coreProperties>
</file>