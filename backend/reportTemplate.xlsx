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izing" sheetId="3" state="visible" r:id="rId3"/>
    <sheet xmlns:r="http://schemas.openxmlformats.org/officeDocument/2006/relationships" name="Iterations" sheetId="4" state="visible" r:id="rId4"/>
    <sheet xmlns:r="http://schemas.openxmlformats.org/officeDocument/2006/relationships" name="Agentic" sheetId="5" state="visible" r:id="rId5"/>
    <sheet xmlns:r="http://schemas.openxmlformats.org/officeDocument/2006/relationships" name="Calibration" sheetId="6" state="visible" r:id="rId6"/>
    <sheet xmlns:r="http://schemas.openxmlformats.org/officeDocument/2006/relationships" name="Refer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0"/>
    <numFmt numFmtId="165" formatCode="#,##0.000"/>
    <numFmt numFmtId="166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sz val="10"/>
    </font>
    <font>
      <name val="Calibri"/>
      <i val="1"/>
      <color rgb="00595959"/>
      <sz val="10"/>
    </font>
    <font>
      <name val="Calibri"/>
      <b val="1"/>
      <sz val="12"/>
    </font>
    <font>
      <name val="Calibri"/>
      <family val="2"/>
      <b val="1"/>
      <color theme="1"/>
      <sz val="11"/>
      <scheme val="minor"/>
    </font>
    <font>
      <name val="Calibri"/>
      <b val="1"/>
      <sz val="10"/>
    </font>
    <font>
      <name val="Menlo"/>
      <family val="2"/>
      <color theme="1"/>
      <sz val="9"/>
      <scheme val="minor"/>
    </font>
    <font>
      <name val="Calibri"/>
      <family val="2"/>
      <i val="1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DAEEF3"/>
        <bgColor rgb="00DAEEF3"/>
      </patternFill>
    </fill>
    <fill>
      <patternFill patternType="solid">
        <fgColor rgb="00E2EFDA"/>
        <bgColor rgb="00E2EFDA"/>
      </patternFill>
    </fill>
    <fill>
      <patternFill patternType="solid">
        <fgColor rgb="00B4C7E7"/>
        <bgColor rgb="00B4C7E7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0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right" vertical="top" wrapText="1"/>
    </xf>
    <xf numFmtId="4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top" wrapText="1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0" fontId="6" fillId="5" borderId="6" applyAlignment="1" pivotButton="0" quotePrefix="0" xfId="0">
      <alignment horizontal="right" vertical="center"/>
    </xf>
    <xf numFmtId="0" fontId="6" fillId="3" borderId="6" applyAlignment="1" pivotButton="0" quotePrefix="0" xfId="0">
      <alignment horizontal="right" vertical="center"/>
    </xf>
    <xf numFmtId="3" fontId="6" fillId="3" borderId="6" applyAlignment="1" pivotButton="0" quotePrefix="0" xfId="0">
      <alignment horizontal="right" vertical="center"/>
    </xf>
    <xf numFmtId="165" fontId="6" fillId="3" borderId="6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/>
    </xf>
    <xf numFmtId="3" fontId="2" fillId="2" borderId="1" applyAlignment="1" pivotButton="0" quotePrefix="0" xfId="0">
      <alignment horizontal="right" vertical="center"/>
    </xf>
    <xf numFmtId="166" fontId="2" fillId="2" borderId="1" applyAlignment="1" pivotButton="0" quotePrefix="0" xfId="0">
      <alignment horizontal="right" vertical="center"/>
    </xf>
    <xf numFmtId="4" fontId="2" fillId="2" borderId="1" applyAlignment="1" pivotButton="0" quotePrefix="0" xfId="0">
      <alignment horizontal="right" vertical="center"/>
    </xf>
    <xf numFmtId="164" fontId="2" fillId="2" borderId="1" applyAlignment="1" pivotButton="0" quotePrefix="0" xfId="0">
      <alignment horizontal="right" vertical="center"/>
    </xf>
    <xf numFmtId="11" fontId="2" fillId="3" borderId="1" applyAlignment="1" pivotButton="0" quotePrefix="0" xfId="0">
      <alignment horizontal="right" vertical="center"/>
    </xf>
    <xf numFmtId="4" fontId="6" fillId="3" borderId="6" applyAlignment="1" pivotButton="0" quotePrefix="0" xfId="0">
      <alignment horizontal="right" vertical="center"/>
    </xf>
    <xf numFmtId="164" fontId="6" fillId="3" borderId="6" applyAlignment="1" pivotButton="0" quotePrefix="0" xfId="0">
      <alignment horizontal="right" vertical="center"/>
    </xf>
    <xf numFmtId="165" fontId="2" fillId="2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165" fontId="6" fillId="3" borderId="6" applyAlignment="1" pivotButton="0" quotePrefix="0" xfId="0">
      <alignment horizontal="right" vertical="center"/>
    </xf>
    <xf numFmtId="166" fontId="2" fillId="2" borderId="1" applyAlignment="1" pivotButton="0" quotePrefix="0" xfId="0">
      <alignment horizontal="right" vertical="center"/>
    </xf>
    <xf numFmtId="164" fontId="2" fillId="2" borderId="1" applyAlignment="1" pivotButton="0" quotePrefix="0" xfId="0">
      <alignment horizontal="right" vertical="center"/>
    </xf>
    <xf numFmtId="164" fontId="6" fillId="3" borderId="6" applyAlignment="1" pivotButton="0" quotePrefix="0" xfId="0">
      <alignment horizontal="right" vertical="center"/>
    </xf>
    <xf numFmtId="165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3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  <col width="12" customWidth="1" min="3" max="3"/>
    <col width="52" customWidth="1" min="4" max="4"/>
  </cols>
  <sheetData>
    <row r="1">
      <c r="A1" s="1" t="inlineStr">
        <is>
          <t>Сводка расчёта — ключевые результаты</t>
        </is>
      </c>
    </row>
    <row r="2">
      <c r="A2" s="2" t="inlineStr">
        <is>
          <t>Ввод (INPUT)</t>
        </is>
      </c>
      <c r="B2" s="3" t="inlineStr">
        <is>
          <t>Расчёт / Итог (bold)</t>
        </is>
      </c>
      <c r="C2" s="4" t="inlineStr">
        <is>
          <t>Проверка ✓/✗ — окрашивается по результату</t>
        </is>
      </c>
    </row>
    <row r="3"/>
    <row r="4">
      <c r="A4" s="5" t="inlineStr">
        <is>
          <t>Проверка осуществимости конфигурации</t>
        </is>
      </c>
      <c r="B4" s="6" t="n"/>
      <c r="C4" s="6" t="n"/>
      <c r="D4" s="7" t="n"/>
    </row>
    <row r="5" ht="48" customHeight="1">
      <c r="A5" s="8" t="inlineStr">
        <is>
          <t>Модель помещается на сервер</t>
        </is>
      </c>
      <c r="B5" s="9">
        <f>Sizing!D13</f>
        <v/>
      </c>
    </row>
    <row r="6">
      <c r="A6" s="8" t="inlineStr">
        <is>
          <t>Th_pf / roofline</t>
        </is>
      </c>
      <c r="B6" s="10">
        <f>Sizing!D34</f>
        <v/>
      </c>
      <c r="C6" s="4" t="inlineStr">
        <is>
          <t>×</t>
        </is>
      </c>
    </row>
    <row r="7"/>
    <row r="8">
      <c r="A8" s="5" t="inlineStr">
        <is>
          <t>Диагностика / предупреждения</t>
        </is>
      </c>
      <c r="B8" s="6" t="n"/>
      <c r="C8" s="6" t="n"/>
      <c r="D8" s="7" t="n"/>
    </row>
    <row r="9" ht="40" customHeight="1">
      <c r="A9" s="8" t="inlineStr">
        <is>
          <t>K_batch over-stretch (Th_pf &gt; 1.5× roofline)</t>
        </is>
      </c>
      <c r="B9" s="11">
        <f>IF(Sizing!D34&gt;1.5,"⚠ Th_pf &gt; 1.5× roofline — возможно завышение Th_pf через K_batch. Снизьте C или переключите engine_mode=continuous","✓ OK")</f>
        <v/>
      </c>
    </row>
    <row r="10" ht="40" customHeight="1">
      <c r="A10" s="8" t="inlineStr">
        <is>
          <t>Th_pf_emp / Th_dec_emp vs η калибровка</t>
        </is>
      </c>
      <c r="B10" s="11">
        <f>IF(OR(AND(Inputs!D65&gt;0,Inputs!D61=0.2),AND(Inputs!D66&gt;0,Inputs!D63=0.3)),"⚠ Эмпирический Th_* задан, но η_pf/η_mem на дефолтных 0.20/0.30 — калибровочные коэффициенты не переcчитаны (§Е)","✓ OK")</f>
        <v/>
      </c>
    </row>
    <row r="11" ht="40" customHeight="1">
      <c r="A11" s="8" t="inlineStr">
        <is>
          <t>Agentic overlay применён в Inputs</t>
        </is>
      </c>
      <c r="B11" s="11">
        <f>IF(Agentic!D23&lt;=1,"✓ n/a: K_calls=1 (не агентный сценарий)","✓ OK: агентные надбавки и K_calls учтены автоматически (Inputs, блок 2.3)")</f>
        <v/>
      </c>
    </row>
    <row r="12" ht="40" customHeight="1">
      <c r="A12" s="8" t="inlineStr">
        <is>
          <t>Сходимость итераций Servers</t>
        </is>
      </c>
      <c r="B12" s="11">
        <f>IF(ISNUMBER(SEARCH("OK",Sizing!D54)),"✓ OK: итерации сошлись",Sizing!D54)</f>
        <v/>
      </c>
    </row>
    <row r="13"/>
    <row r="14">
      <c r="A14" s="5" t="inlineStr">
        <is>
          <t>Входная нагрузка</t>
        </is>
      </c>
      <c r="B14" s="6" t="n"/>
      <c r="C14" s="6" t="n"/>
      <c r="D14" s="7" t="n"/>
    </row>
    <row r="15">
      <c r="A15" s="8" t="inlineStr">
        <is>
          <t>Всего одновременных сессий (S_sim)</t>
        </is>
      </c>
      <c r="B15" s="12">
        <f>Inputs!D12</f>
        <v/>
      </c>
      <c r="C15" s="4" t="inlineStr">
        <is>
          <t>sess.</t>
        </is>
      </c>
    </row>
    <row r="16">
      <c r="A16" s="8" t="inlineStr">
        <is>
          <t>Запросов/с на сессию (R)</t>
        </is>
      </c>
      <c r="B16" s="30">
        <f>Inputs!D75</f>
        <v/>
      </c>
      <c r="C16" s="4" t="inlineStr">
        <is>
          <t>req/s</t>
        </is>
      </c>
    </row>
    <row r="17">
      <c r="A17" s="8" t="inlineStr">
        <is>
          <t>Целевое TTFT_SLA</t>
        </is>
      </c>
      <c r="B17" s="31">
        <f>Inputs!D77</f>
        <v/>
      </c>
      <c r="C17" s="4" t="inlineStr">
        <is>
          <t>s</t>
        </is>
      </c>
    </row>
    <row r="18">
      <c r="A18" s="8" t="inlineStr">
        <is>
          <t>Целевое e2eLatency_SLA</t>
        </is>
      </c>
      <c r="B18" s="31">
        <f>Inputs!D78</f>
        <v/>
      </c>
      <c r="C18" s="4" t="inlineStr">
        <is>
          <t>s</t>
        </is>
      </c>
    </row>
    <row r="19"/>
    <row r="20">
      <c r="A20" s="5" t="inlineStr">
        <is>
          <t>Оборудование</t>
        </is>
      </c>
      <c r="B20" s="6" t="n"/>
      <c r="C20" s="6" t="n"/>
      <c r="D20" s="7" t="n"/>
    </row>
    <row r="21">
      <c r="A21" s="8" t="inlineStr">
        <is>
          <t>GPU</t>
        </is>
      </c>
      <c r="B21" s="3">
        <f>Inputs!D25</f>
        <v/>
      </c>
      <c r="C21" s="4" t="inlineStr">
        <is>
          <t>-</t>
        </is>
      </c>
    </row>
    <row r="22">
      <c r="A22" s="8" t="inlineStr">
        <is>
          <t>GPU на сервер</t>
        </is>
      </c>
      <c r="B22" s="12">
        <f>Inputs!D29</f>
        <v/>
      </c>
      <c r="C22" s="4" t="inlineStr">
        <is>
          <t>pcs</t>
        </is>
      </c>
    </row>
    <row r="23">
      <c r="A23" s="8" t="inlineStr">
        <is>
          <t>Множитель TP (Z)</t>
        </is>
      </c>
      <c r="B23" s="12">
        <f>Inputs!D31</f>
        <v/>
      </c>
      <c r="C23" s="4" t="inlineStr">
        <is>
          <t>-</t>
        </is>
      </c>
    </row>
    <row r="24"/>
    <row r="25">
      <c r="A25" s="5" t="inlineStr">
        <is>
          <t>Модель</t>
        </is>
      </c>
      <c r="B25" s="6" t="n"/>
      <c r="C25" s="6" t="n"/>
      <c r="D25" s="7" t="n"/>
    </row>
    <row r="26">
      <c r="A26" s="8" t="inlineStr">
        <is>
          <t>LLM модель</t>
        </is>
      </c>
      <c r="B26" s="3">
        <f>Inputs!D35</f>
        <v/>
      </c>
      <c r="C26" s="4" t="inlineStr">
        <is>
          <t>-</t>
        </is>
      </c>
    </row>
    <row r="27">
      <c r="A27" s="8" t="inlineStr">
        <is>
          <t>Квантизация</t>
        </is>
      </c>
      <c r="B27" s="3">
        <f>Inputs!D53</f>
        <v/>
      </c>
      <c r="C27" s="4" t="inlineStr">
        <is>
          <t>-</t>
        </is>
      </c>
    </row>
    <row r="28">
      <c r="A28" s="8" t="inlineStr">
        <is>
          <t>P_total / P_active</t>
        </is>
      </c>
      <c r="B28" s="3">
        <f>Inputs!D36&amp;" / "&amp;Inputs!D37</f>
        <v/>
      </c>
      <c r="C28" s="4" t="inlineStr">
        <is>
          <t>B</t>
        </is>
      </c>
    </row>
    <row r="29">
      <c r="A29" s="8" t="inlineStr">
        <is>
          <t>Архитектура</t>
        </is>
      </c>
      <c r="B29" s="3">
        <f>Inputs!D43</f>
        <v/>
      </c>
      <c r="C29" s="4" t="inlineStr">
        <is>
          <t>-</t>
        </is>
      </c>
    </row>
    <row r="30"/>
    <row r="31">
      <c r="A31" s="5" t="inlineStr">
        <is>
          <t>Память</t>
        </is>
      </c>
      <c r="B31" s="6" t="n"/>
      <c r="C31" s="6" t="n"/>
      <c r="D31" s="7" t="n"/>
    </row>
    <row r="32">
      <c r="A32" s="8" t="inlineStr">
        <is>
          <t>M_model (веса)</t>
        </is>
      </c>
      <c r="B32" s="10">
        <f>Sizing!D5</f>
        <v/>
      </c>
      <c r="C32" s="4" t="inlineStr">
        <is>
          <t>GiB</t>
        </is>
      </c>
    </row>
    <row r="33">
      <c r="A33" s="8" t="inlineStr">
        <is>
          <t>M_KV на сессию</t>
        </is>
      </c>
      <c r="B33" s="10">
        <f>Sizing!D7</f>
        <v/>
      </c>
      <c r="C33" s="4" t="inlineStr">
        <is>
          <t>GiB</t>
        </is>
      </c>
    </row>
    <row r="34">
      <c r="A34" s="8" t="inlineStr">
        <is>
          <t>Сессий на экземпляр (S_TP=Z)</t>
        </is>
      </c>
      <c r="B34" s="12">
        <f>Sizing!D15</f>
        <v/>
      </c>
      <c r="C34" s="4" t="inlineStr">
        <is>
          <t>sess.</t>
        </is>
      </c>
    </row>
    <row r="35">
      <c r="A35" s="8" t="inlineStr">
        <is>
          <t>Сессий на сервер (S_server)</t>
        </is>
      </c>
      <c r="B35" s="12">
        <f>Sizing!D21</f>
        <v/>
      </c>
      <c r="C35" s="4" t="inlineStr">
        <is>
          <t>sess.</t>
        </is>
      </c>
    </row>
    <row r="36"/>
    <row r="37">
      <c r="A37" s="5" t="inlineStr">
        <is>
          <t>Производительность</t>
        </is>
      </c>
      <c r="B37" s="6" t="n"/>
      <c r="C37" s="6" t="n"/>
      <c r="D37" s="7" t="n"/>
    </row>
    <row r="38">
      <c r="A38" s="8" t="inlineStr">
        <is>
          <t>Th_pf (per-session)</t>
        </is>
      </c>
      <c r="B38" s="12">
        <f>Sizing!D33</f>
        <v/>
      </c>
      <c r="C38" s="4" t="inlineStr">
        <is>
          <t>tok/s</t>
        </is>
      </c>
    </row>
    <row r="39">
      <c r="A39" s="8" t="inlineStr">
        <is>
          <t>Th_dec (per-session)</t>
        </is>
      </c>
      <c r="B39" s="12">
        <f>Sizing!D38</f>
        <v/>
      </c>
      <c r="C39" s="4" t="inlineStr">
        <is>
          <t>tok/s</t>
        </is>
      </c>
    </row>
    <row r="40">
      <c r="A40" s="8" t="inlineStr">
        <is>
          <t>C^model (req/s на экземпляр)</t>
        </is>
      </c>
      <c r="B40" s="30">
        <f>Sizing!D39</f>
        <v/>
      </c>
      <c r="C40" s="4" t="inlineStr">
        <is>
          <t>req/s</t>
        </is>
      </c>
    </row>
    <row r="41">
      <c r="A41" s="8" t="inlineStr">
        <is>
          <t>Th_server^comp (req/s на сервер)</t>
        </is>
      </c>
      <c r="B41" s="30">
        <f>Sizing!D40</f>
        <v/>
      </c>
      <c r="C41" s="4" t="inlineStr">
        <is>
          <t>req/s</t>
        </is>
      </c>
    </row>
    <row r="42"/>
    <row r="43">
      <c r="A43" s="5" t="inlineStr">
        <is>
          <t>Latency</t>
        </is>
      </c>
      <c r="B43" s="6" t="n"/>
      <c r="C43" s="6" t="n"/>
      <c r="D43" s="7" t="n"/>
    </row>
    <row r="44">
      <c r="A44" s="8" t="inlineStr">
        <is>
          <t>TTFT_analyt</t>
        </is>
      </c>
      <c r="B44" s="31">
        <f>Sizing!D59</f>
        <v/>
      </c>
      <c r="C44" s="4" t="inlineStr">
        <is>
          <t>s</t>
        </is>
      </c>
    </row>
    <row r="45">
      <c r="A45" s="8" t="inlineStr">
        <is>
          <t>e2eLatency_analyt</t>
        </is>
      </c>
      <c r="B45" s="31">
        <f>Sizing!D61</f>
        <v/>
      </c>
      <c r="C45" s="4" t="inlineStr">
        <is>
          <t>s</t>
        </is>
      </c>
    </row>
    <row r="46">
      <c r="A46" s="8" t="inlineStr">
        <is>
          <t>e2eLatency_load</t>
        </is>
      </c>
      <c r="B46" s="31">
        <f>Sizing!D62</f>
        <v/>
      </c>
      <c r="C46" s="4" t="inlineStr">
        <is>
          <t>s</t>
        </is>
      </c>
    </row>
    <row r="47"/>
    <row r="48">
      <c r="A48" s="5" t="inlineStr">
        <is>
          <t>SLA статус</t>
        </is>
      </c>
      <c r="B48" s="6" t="n"/>
      <c r="C48" s="6" t="n"/>
      <c r="D48" s="7" t="n"/>
    </row>
    <row r="49">
      <c r="A49" s="8" t="inlineStr">
        <is>
          <t>TTFT</t>
        </is>
      </c>
      <c r="B49" s="15">
        <f>IF(Inputs!D77&lt;=0,"n/a: цель TTFT не задана",IF(Inputs!D77&gt;=Sizing!D59,"✓ OK: в пределах SLA","✗ FAIL: превышение SLA"))</f>
        <v/>
      </c>
    </row>
    <row r="50">
      <c r="A50" s="8" t="inlineStr">
        <is>
          <t>e2eLatency</t>
        </is>
      </c>
      <c r="B50" s="16">
        <f>IF(Inputs!D78&lt;=0,"n/a: цель e2e не задана",IF(Inputs!D78&gt;=Sizing!D62,"✓ OK: в пределах SLA","✗ FAIL: превышение SLA"))</f>
        <v/>
      </c>
    </row>
    <row r="51"/>
    <row r="52">
      <c r="A52" s="5" t="inlineStr">
        <is>
          <t>ИТОГОВОЕ РЕШЕНИЕ</t>
        </is>
      </c>
      <c r="B52" s="6" t="n"/>
      <c r="C52" s="6" t="n"/>
      <c r="D52" s="7" t="n"/>
    </row>
    <row r="53">
      <c r="A53" s="8" t="inlineStr">
        <is>
          <t>Серверов по памяти</t>
        </is>
      </c>
      <c r="B53" s="17">
        <f>Sizing!D22</f>
        <v/>
      </c>
      <c r="C53" s="4" t="inlineStr">
        <is>
          <t>pcs</t>
        </is>
      </c>
    </row>
    <row r="54">
      <c r="A54" s="8" t="inlineStr">
        <is>
          <t>Серверов по compute (single-shot)</t>
        </is>
      </c>
      <c r="B54" s="17">
        <f>Sizing!D41</f>
        <v/>
      </c>
      <c r="C54" s="4" t="inlineStr">
        <is>
          <t>pcs</t>
        </is>
      </c>
    </row>
    <row r="55">
      <c r="A55" s="8" t="inlineStr">
        <is>
          <t>Серверов по compute (после итераций §6.4)</t>
        </is>
      </c>
      <c r="B55" s="17">
        <f>Sizing!D53</f>
        <v/>
      </c>
      <c r="C55" s="4" t="inlineStr">
        <is>
          <t>pcs</t>
        </is>
      </c>
    </row>
    <row r="56">
      <c r="A56" s="8" t="inlineStr">
        <is>
          <t>ИТОГО серверов (max после итераций)</t>
        </is>
      </c>
      <c r="B56" s="17">
        <f>Sizing!D68</f>
        <v/>
      </c>
      <c r="C56" s="4" t="inlineStr">
        <is>
          <t>pcs</t>
        </is>
      </c>
    </row>
    <row r="57">
      <c r="A57" s="8" t="inlineStr">
        <is>
          <t>Всего GPU</t>
        </is>
      </c>
      <c r="B57" s="17">
        <f>Sizing!D69</f>
        <v/>
      </c>
      <c r="C57" s="4" t="inlineStr">
        <is>
          <t>pcs</t>
        </is>
      </c>
    </row>
    <row r="58"/>
    <row r="59">
      <c r="A59" s="5" t="inlineStr">
        <is>
          <t>Финальные значения (при Servers_final)</t>
        </is>
      </c>
      <c r="B59" s="6" t="n"/>
      <c r="C59" s="6" t="n"/>
      <c r="D59" s="7" t="n"/>
    </row>
    <row r="60">
      <c r="A60" s="8" t="inlineStr">
        <is>
          <t>BS_real (фактический батч)</t>
        </is>
      </c>
      <c r="B60" s="17">
        <f>Sizing!D70</f>
        <v/>
      </c>
      <c r="C60" s="4" t="inlineStr">
        <is>
          <t>sess.</t>
        </is>
      </c>
    </row>
    <row r="61">
      <c r="A61" s="8" t="inlineStr">
        <is>
          <t>Th_dec (фактическая per-session)</t>
        </is>
      </c>
      <c r="B61" s="17">
        <f>Sizing!D71</f>
        <v/>
      </c>
      <c r="C61" s="4" t="inlineStr">
        <is>
          <t>tok/s</t>
        </is>
      </c>
    </row>
    <row r="62">
      <c r="A62" s="8" t="inlineStr">
        <is>
          <t>e2eLatency (фактическая)</t>
        </is>
      </c>
      <c r="B62" s="32">
        <f>Sizing!D72</f>
        <v/>
      </c>
      <c r="C62" s="4" t="inlineStr">
        <is>
          <t>s</t>
        </is>
      </c>
    </row>
    <row r="63" ht="48" customHeight="1">
      <c r="A63" s="8" t="inlineStr">
        <is>
          <t>Итоговый статус SLA</t>
        </is>
      </c>
      <c r="B63" s="9">
        <f>Sizing!D73</f>
        <v/>
      </c>
    </row>
  </sheetData>
  <mergeCells count="12">
    <mergeCell ref="A1:D1"/>
    <mergeCell ref="A37:D37"/>
    <mergeCell ref="A31:D31"/>
    <mergeCell ref="A8:D8"/>
    <mergeCell ref="A4:D4"/>
    <mergeCell ref="A48:D48"/>
    <mergeCell ref="A20:D20"/>
    <mergeCell ref="A52:D52"/>
    <mergeCell ref="A59:D59"/>
    <mergeCell ref="A25:D25"/>
    <mergeCell ref="A43:D43"/>
    <mergeCell ref="A14:D14"/>
  </mergeCells>
  <conditionalFormatting sqref="B5">
    <cfRule type="expression" priority="1" dxfId="0">
      <formula>ISNUMBER(SEARCH("OK",B5))</formula>
    </cfRule>
    <cfRule type="expression" priority="2" dxfId="1">
      <formula>ISNUMBER(SEARCH("FAIL",B5))</formula>
    </cfRule>
  </conditionalFormatting>
  <conditionalFormatting sqref="B9">
    <cfRule type="expression" priority="3" dxfId="1">
      <formula>ISNUMBER(SEARCH("⚠",B9))</formula>
    </cfRule>
    <cfRule type="expression" priority="4" dxfId="0">
      <formula>ISNUMBER(SEARCH("✓",B9))</formula>
    </cfRule>
  </conditionalFormatting>
  <conditionalFormatting sqref="B10">
    <cfRule type="expression" priority="5" dxfId="1">
      <formula>ISNUMBER(SEARCH("⚠",B10))</formula>
    </cfRule>
    <cfRule type="expression" priority="6" dxfId="0">
      <formula>ISNUMBER(SEARCH("✓",B10))</formula>
    </cfRule>
  </conditionalFormatting>
  <conditionalFormatting sqref="B11">
    <cfRule type="expression" priority="7" dxfId="1">
      <formula>ISNUMBER(SEARCH("⚠",B11))</formula>
    </cfRule>
    <cfRule type="expression" priority="8" dxfId="0">
      <formula>ISNUMBER(SEARCH("✓",B11))</formula>
    </cfRule>
  </conditionalFormatting>
  <conditionalFormatting sqref="B12">
    <cfRule type="expression" priority="9" dxfId="1">
      <formula>ISNUMBER(SEARCH("⚠",B12))</formula>
    </cfRule>
    <cfRule type="expression" priority="10" dxfId="0">
      <formula>ISNUMBER(SEARCH("✓",B12))</formula>
    </cfRule>
  </conditionalFormatting>
  <conditionalFormatting sqref="B63">
    <cfRule type="expression" priority="11" dxfId="0">
      <formula>ISNUMBER(SEARCH("OK",B63))</formula>
    </cfRule>
    <cfRule type="expression" priority="12" dxfId="1">
      <formula>ISNUMBER(SEARCH("FAIL",B63))</formula>
    </cfRule>
  </conditionalFormatting>
  <conditionalFormatting sqref="B49">
    <cfRule type="expression" priority="13" dxfId="0">
      <formula>ISNUMBER(SEARCH("OK",B49))</formula>
    </cfRule>
    <cfRule type="expression" priority="14" dxfId="1">
      <formula>ISNUMBER(SEARCH("FAIL",B49))</formula>
    </cfRule>
  </conditionalFormatting>
  <conditionalFormatting sqref="B50">
    <cfRule type="expression" priority="15" dxfId="0">
      <formula>ISNUMBER(SEARCH("OK",B50))</formula>
    </cfRule>
    <cfRule type="expression" priority="16" dxfId="1">
      <formula>ISNUMBER(SEARCH("FAIL",B50))</formula>
    </cfRule>
  </conditionalFormatting>
  <printOptions horizontalCentered="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2"/>
  <sheetViews>
    <sheetView workbookViewId="0">
      <selection activeCell="A1" sqref="A1"/>
    </sheetView>
  </sheetViews>
  <sheetFormatPr baseColWidth="8" defaultRowHeight="15"/>
  <cols>
    <col width="44" customWidth="1" min="1" max="1"/>
    <col width="56" customWidth="1" min="2" max="2"/>
    <col width="11" customWidth="1" min="3" max="3"/>
    <col width="17" customWidth="1" min="4" max="4"/>
    <col width="17" customWidth="1" min="5" max="5"/>
    <col width="17" customWidth="1" min="6" max="6"/>
    <col width="17" customWidth="1" min="7" max="7"/>
    <col width="10" customWidth="1" min="8" max="8"/>
  </cols>
  <sheetData>
    <row r="1">
      <c r="A1" s="1" t="inlineStr">
        <is>
          <t>Методика расчёта GPU — Калькулятор параметров</t>
        </is>
      </c>
    </row>
    <row r="2">
      <c r="A2" s="2" t="inlineStr">
        <is>
          <t>Ввод (INPUT)</t>
        </is>
      </c>
      <c r="B2" s="3" t="inlineStr">
        <is>
          <t>Расчёт / Итог (bold)</t>
        </is>
      </c>
      <c r="C2" s="4" t="inlineStr">
        <is>
          <t>Проверка ✓/✗ — окрашивается по результату</t>
        </is>
      </c>
    </row>
    <row r="3"/>
    <row r="4">
      <c r="A4" s="5" t="inlineStr">
        <is>
          <t>2. Определение нагрузки в пользователях</t>
        </is>
      </c>
      <c r="B4" s="6" t="n"/>
      <c r="C4" s="6" t="n"/>
      <c r="D4" s="6" t="n"/>
      <c r="E4" s="6" t="n"/>
      <c r="F4" s="6" t="n"/>
      <c r="G4" s="6" t="n"/>
      <c r="H4" s="7" t="n"/>
    </row>
    <row r="5">
      <c r="D5" s="19" t="inlineStr">
        <is>
          <t>Сегмент 1</t>
        </is>
      </c>
      <c r="E5" s="19" t="inlineStr">
        <is>
          <t>Сегмент 2</t>
        </is>
      </c>
      <c r="F5" s="19" t="inlineStr">
        <is>
          <t>Сегмент 3</t>
        </is>
      </c>
      <c r="G5" s="19" t="inlineStr">
        <is>
          <t>Сегмент 4</t>
        </is>
      </c>
    </row>
    <row r="6">
      <c r="A6" s="8" t="inlineStr">
        <is>
          <t>Название сегмента</t>
        </is>
      </c>
      <c r="B6" s="4" t="inlineStr">
        <is>
          <t>Напр.: ритейл, внутренние, VIP</t>
        </is>
      </c>
      <c r="C6" s="4" t="inlineStr">
        <is>
          <t>INPUT</t>
        </is>
      </c>
      <c r="D6" s="2" t="inlineStr">
        <is>
          <t>Внутренние</t>
        </is>
      </c>
      <c r="E6" s="2" t="inlineStr">
        <is>
          <t>Внешние</t>
        </is>
      </c>
      <c r="F6" s="2" t="inlineStr"/>
      <c r="G6" s="2" t="inlineStr"/>
    </row>
    <row r="7">
      <c r="A7" s="8" t="inlineStr">
        <is>
          <t>Число пользователей (N_users)</t>
        </is>
      </c>
      <c r="B7" s="4" t="inlineStr">
        <is>
          <t>Всего пользователей в сегменте</t>
        </is>
      </c>
      <c r="C7" s="4" t="inlineStr">
        <is>
          <t>INPUT</t>
        </is>
      </c>
      <c r="D7" s="20" t="n">
        <v>50000</v>
      </c>
      <c r="E7" s="20" t="n">
        <v>10000</v>
      </c>
      <c r="F7" s="20" t="n">
        <v>0</v>
      </c>
      <c r="G7" s="20" t="n">
        <v>0</v>
      </c>
      <c r="H7" s="4" t="inlineStr">
        <is>
          <t>users</t>
        </is>
      </c>
    </row>
    <row r="8">
      <c r="A8" s="8" t="inlineStr">
        <is>
          <t>Коэф. проникновения (K_pen)</t>
        </is>
      </c>
      <c r="B8" s="4" t="inlineStr">
        <is>
          <t>Доля использующих GenAI, 0–1</t>
        </is>
      </c>
      <c r="C8" s="4" t="inlineStr">
        <is>
          <t>INPUT</t>
        </is>
      </c>
      <c r="D8" s="33" t="n">
        <v>0.3</v>
      </c>
      <c r="E8" s="33" t="n">
        <v>0.2</v>
      </c>
      <c r="F8" s="33" t="n">
        <v>0</v>
      </c>
      <c r="G8" s="33" t="n">
        <v>0</v>
      </c>
      <c r="H8" s="4" t="inlineStr">
        <is>
          <t>ratio</t>
        </is>
      </c>
    </row>
    <row r="9">
      <c r="A9" s="8" t="inlineStr">
        <is>
          <t>Коэф. одновременности (K_sim)</t>
        </is>
      </c>
      <c r="B9" s="4" t="inlineStr">
        <is>
          <t>Доля одновременно активных пользователей</t>
        </is>
      </c>
      <c r="C9" s="4" t="inlineStr">
        <is>
          <t>INPUT</t>
        </is>
      </c>
      <c r="D9" s="33" t="n">
        <v>0.1</v>
      </c>
      <c r="E9" s="33" t="n">
        <v>0.15</v>
      </c>
      <c r="F9" s="33" t="n">
        <v>0</v>
      </c>
      <c r="G9" s="33" t="n">
        <v>0</v>
      </c>
      <c r="H9" s="4" t="inlineStr">
        <is>
          <t>ratio</t>
        </is>
      </c>
    </row>
    <row r="10">
      <c r="A10" s="8" t="inlineStr">
        <is>
          <t>Сессий на пользователя (J)</t>
        </is>
      </c>
      <c r="B10" s="4" t="inlineStr">
        <is>
          <t>Обычно 1</t>
        </is>
      </c>
      <c r="C10" s="4" t="inlineStr">
        <is>
          <t>INPUT</t>
        </is>
      </c>
      <c r="D10" s="20" t="n">
        <v>1</v>
      </c>
      <c r="E10" s="20" t="n">
        <v>1</v>
      </c>
      <c r="F10" s="20" t="n">
        <v>1</v>
      </c>
      <c r="G10" s="20" t="n">
        <v>1</v>
      </c>
      <c r="H10" s="4" t="inlineStr">
        <is>
          <t>sess./user</t>
        </is>
      </c>
    </row>
    <row r="11">
      <c r="A11" s="8" t="inlineStr">
        <is>
          <t>Одновременных сессий сегмента (S_sim,i)</t>
        </is>
      </c>
      <c r="B11" s="4" t="inlineStr">
        <is>
          <t>Формула: N_users · K_pen · K_sim · J</t>
        </is>
      </c>
      <c r="C11" s="4" t="inlineStr">
        <is>
          <t>calc</t>
        </is>
      </c>
      <c r="D11" s="12">
        <f>D7*D8*D9*D10</f>
        <v/>
      </c>
      <c r="E11" s="12">
        <f>E7*E8*E9*E10</f>
        <v/>
      </c>
      <c r="F11" s="12">
        <f>F7*F8*F9*F10</f>
        <v/>
      </c>
      <c r="G11" s="12">
        <f>G7*G8*G9*G10</f>
        <v/>
      </c>
      <c r="H11" s="4" t="inlineStr">
        <is>
          <t>sess.</t>
        </is>
      </c>
    </row>
    <row r="12">
      <c r="A12" s="8" t="inlineStr">
        <is>
          <t>Всего одновременных сессий (S_sim)</t>
        </is>
      </c>
      <c r="B12" s="4" t="inlineStr">
        <is>
          <t>Сумма по всем сегментам</t>
        </is>
      </c>
      <c r="C12" s="4" t="inlineStr">
        <is>
          <t>calc</t>
        </is>
      </c>
      <c r="D12" s="12">
        <f>SUM(D11:G11)</f>
        <v/>
      </c>
      <c r="H12" s="4" t="inlineStr">
        <is>
          <t>sess.</t>
        </is>
      </c>
    </row>
    <row r="13"/>
    <row r="14">
      <c r="A14" s="5" t="inlineStr">
        <is>
          <t>2.2. Токеновый профиль одной сессии</t>
        </is>
      </c>
      <c r="B14" s="6" t="n"/>
      <c r="C14" s="6" t="n"/>
      <c r="D14" s="6" t="n"/>
      <c r="E14" s="6" t="n"/>
      <c r="F14" s="6" t="n"/>
      <c r="G14" s="6" t="n"/>
      <c r="H14" s="7" t="n"/>
    </row>
    <row r="15">
      <c r="A15" s="8" t="inlineStr">
        <is>
          <t>Число токенов системного промпта (SP)</t>
        </is>
      </c>
      <c r="B15" s="4" t="inlineStr">
        <is>
          <t>По умолчанию 1000 (~1000 символов)</t>
        </is>
      </c>
      <c r="C15" s="4" t="inlineStr">
        <is>
          <t>INPUT</t>
        </is>
      </c>
      <c r="D15" s="20" t="n">
        <v>1000</v>
      </c>
      <c r="H15" s="4" t="inlineStr">
        <is>
          <t>tokens</t>
        </is>
      </c>
    </row>
    <row r="16">
      <c r="A16" s="8" t="inlineStr">
        <is>
          <t>Число токенов входного запроса (Prp)</t>
        </is>
      </c>
      <c r="B16" s="4" t="inlineStr">
        <is>
          <t>По умолчанию 200 (~500 символов)</t>
        </is>
      </c>
      <c r="C16" s="4" t="inlineStr">
        <is>
          <t>INPUT</t>
        </is>
      </c>
      <c r="D16" s="20" t="n">
        <v>200</v>
      </c>
      <c r="H16" s="4" t="inlineStr">
        <is>
          <t>tokens</t>
        </is>
      </c>
    </row>
    <row r="17">
      <c r="A17" s="8" t="inlineStr">
        <is>
          <t>Число токенов ответа модели (A)</t>
        </is>
      </c>
      <c r="B17" s="4" t="inlineStr">
        <is>
          <t>По умолчанию 400 (~900 символов)</t>
        </is>
      </c>
      <c r="C17" s="4" t="inlineStr">
        <is>
          <t>INPUT</t>
        </is>
      </c>
      <c r="D17" s="20" t="n">
        <v>400</v>
      </c>
      <c r="H17" s="4" t="inlineStr">
        <is>
          <t>tokens</t>
        </is>
      </c>
    </row>
    <row r="18">
      <c r="A18" s="8" t="inlineStr">
        <is>
          <t>Бюджет токенов на reasoning (MRT)</t>
        </is>
      </c>
      <c r="B18" s="4" t="inlineStr">
        <is>
          <t>0 если модель без reasoning; 20–50% от max для reasoning</t>
        </is>
      </c>
      <c r="C18" s="4" t="inlineStr">
        <is>
          <t>INPUT</t>
        </is>
      </c>
      <c r="D18" s="20" t="n">
        <v>0</v>
      </c>
      <c r="H18" s="4" t="inlineStr">
        <is>
          <t>tokens</t>
        </is>
      </c>
    </row>
    <row r="19">
      <c r="A19" s="8" t="inlineStr">
        <is>
          <t>Число пар запрос-ответ в сессии (N_prp)</t>
        </is>
      </c>
      <c r="B19" s="4" t="inlineStr">
        <is>
          <t>По умолчанию 5</t>
        </is>
      </c>
      <c r="C19" s="4" t="inlineStr">
        <is>
          <t>INPUT</t>
        </is>
      </c>
      <c r="D19" s="20" t="n">
        <v>5</v>
      </c>
      <c r="H19" s="4" t="inlineStr">
        <is>
          <t>pcs</t>
        </is>
      </c>
    </row>
    <row r="20">
      <c r="A20" s="8" t="inlineStr">
        <is>
          <t>Полная длина сессии (TS)</t>
        </is>
      </c>
      <c r="B20" s="4" t="inlineStr">
        <is>
          <t>TS = SL_pf^raw + T_dec (§2.2). Для KV-кэша берётся SL = min(TS, TS_max).</t>
        </is>
      </c>
      <c r="C20" s="4" t="inlineStr">
        <is>
          <t>calc</t>
        </is>
      </c>
      <c r="D20" s="12">
        <f>D88+D22</f>
        <v/>
      </c>
      <c r="H20" s="4" t="inlineStr">
        <is>
          <t>tokens</t>
        </is>
      </c>
    </row>
    <row r="21">
      <c r="A21" s="8" t="inlineStr">
        <is>
          <t>Длина входа на этапе prefill (SL_pf)</t>
        </is>
      </c>
      <c r="B21" s="4" t="inlineStr">
        <is>
          <t>SL_pf = min(SL_pf^raw, TS_max − T_dec) (§2.2). Для TTFT, Th_pf и Th_dec.</t>
        </is>
      </c>
      <c r="C21" s="4" t="inlineStr">
        <is>
          <t>calc</t>
        </is>
      </c>
      <c r="D21" s="12">
        <f>MIN(D88,D44-D22)</f>
        <v/>
      </c>
      <c r="H21" s="4" t="inlineStr">
        <is>
          <t>tokens</t>
        </is>
      </c>
    </row>
    <row r="22">
      <c r="A22" s="8" t="inlineStr">
        <is>
          <t>Число токенов decode (T_dec)</t>
        </is>
      </c>
      <c r="B22" s="4" t="inlineStr">
        <is>
          <t>T_dec = A_eff + MRT (§2.2, В.3): A_eff = A + A_tool.</t>
        </is>
      </c>
      <c r="C22" s="4" t="inlineStr">
        <is>
          <t>calc</t>
        </is>
      </c>
      <c r="D22" s="12">
        <f>D85+D86</f>
        <v/>
      </c>
      <c r="H22" s="4" t="inlineStr">
        <is>
          <t>tokens</t>
        </is>
      </c>
    </row>
    <row r="23">
      <c r="A23" s="8" t="inlineStr">
        <is>
          <t>Reasoning прошлых ходов в истории (h_reason)</t>
        </is>
      </c>
      <c r="B23" s="4" t="inlineStr">
        <is>
          <t>0 — движок отбрасывает reasoning прошлых ходов (по умолчанию); 1 — сохраняет (§2.2)</t>
        </is>
      </c>
      <c r="C23" s="4" t="inlineStr">
        <is>
          <t>INPUT</t>
        </is>
      </c>
      <c r="D23" s="20" t="n">
        <v>0</v>
      </c>
      <c r="E23" t="inlineStr">
        <is>
          <t>0/1</t>
        </is>
      </c>
      <c r="H23" s="4" t="n"/>
    </row>
    <row r="24">
      <c r="A24" s="5" t="inlineStr">
        <is>
          <t>4. Аппаратная конфигурация</t>
        </is>
      </c>
      <c r="B24" s="6" t="n"/>
      <c r="C24" s="6" t="n"/>
      <c r="D24" s="6" t="n"/>
      <c r="E24" s="6" t="n"/>
      <c r="F24" s="6" t="n"/>
      <c r="G24" s="6" t="n"/>
      <c r="H24" s="7" t="n"/>
    </row>
    <row r="25">
      <c r="A25" s="8" t="inlineStr">
        <is>
          <t>Модель GPU</t>
        </is>
      </c>
      <c r="B25" s="4" t="inlineStr">
        <is>
          <t>Выбрать из списка</t>
        </is>
      </c>
      <c r="C25" s="4" t="inlineStr">
        <is>
          <t>INPUT</t>
        </is>
      </c>
      <c r="D25" s="2" t="inlineStr">
        <is>
          <t>NVIDIA H100 GPU accelerator (SXM card)</t>
        </is>
      </c>
      <c r="H25" s="4" t="inlineStr">
        <is>
          <t>-</t>
        </is>
      </c>
    </row>
    <row r="26">
      <c r="A26" s="8" t="inlineStr">
        <is>
          <t>Память одного GPU (GPU_memory)</t>
        </is>
      </c>
      <c r="B26" s="4" t="inlineStr">
        <is>
          <t>Авто из справочника</t>
        </is>
      </c>
      <c r="C26" s="4" t="inlineStr">
        <is>
          <t>lookup</t>
        </is>
      </c>
      <c r="D26" s="10">
        <f>IFERROR(INDEX(Reference!$B$3:$B$62,MATCH(D25,Reference!$A$3:$A$62,0)),0)</f>
        <v/>
      </c>
      <c r="H26" s="4" t="inlineStr">
        <is>
          <t>GiB</t>
        </is>
      </c>
    </row>
    <row r="27">
      <c r="A27" s="8" t="inlineStr">
        <is>
          <t>Пиковая производительность GPU (TFLOPS FP16)</t>
        </is>
      </c>
      <c r="B27" s="4" t="inlineStr">
        <is>
          <t>Авто из справочника</t>
        </is>
      </c>
      <c r="C27" s="4" t="inlineStr">
        <is>
          <t>lookup</t>
        </is>
      </c>
      <c r="D27" s="12">
        <f>IFERROR(INDEX(Reference!$C$3:$C$62,MATCH(D25,Reference!$A$3:$A$62,0)),0)</f>
        <v/>
      </c>
      <c r="H27" s="4" t="inlineStr">
        <is>
          <t>TFLOPS</t>
        </is>
      </c>
    </row>
    <row r="28">
      <c r="A28" s="8" t="inlineStr">
        <is>
          <t>Пропускная способность памяти GPU (BW_GPU)</t>
        </is>
      </c>
      <c r="B28" s="4" t="inlineStr">
        <is>
          <t>Авто из справочника</t>
        </is>
      </c>
      <c r="C28" s="4" t="inlineStr">
        <is>
          <t>lookup</t>
        </is>
      </c>
      <c r="D28" s="12">
        <f>IFERROR(INDEX(Reference!$D$3:$D$62,MATCH(D25,Reference!$A$3:$A$62,0)),0)</f>
        <v/>
      </c>
      <c r="H28" s="4" t="inlineStr">
        <is>
          <t>GB/s</t>
        </is>
      </c>
    </row>
    <row r="29">
      <c r="A29" s="8" t="inlineStr">
        <is>
          <t>Число GPU на сервере (GPU_count_server)</t>
        </is>
      </c>
      <c r="B29" s="4" t="inlineStr">
        <is>
          <t>Обычно 8 для DGX-класса</t>
        </is>
      </c>
      <c r="C29" s="4" t="inlineStr">
        <is>
          <t>INPUT</t>
        </is>
      </c>
      <c r="D29" s="20" t="n">
        <v>8</v>
      </c>
      <c r="H29" s="4" t="inlineStr">
        <is>
          <t>pcs</t>
        </is>
      </c>
    </row>
    <row r="30">
      <c r="A30" s="8" t="inlineStr">
        <is>
          <t>Коэффициент доступной памяти (K_avail)</t>
        </is>
      </c>
      <c r="B30" s="4" t="inlineStr">
        <is>
          <t>Резерв под систему, обычно 0.9</t>
        </is>
      </c>
      <c r="C30" s="4" t="inlineStr">
        <is>
          <t>INPUT</t>
        </is>
      </c>
      <c r="D30" s="22" t="n">
        <v>0.9</v>
      </c>
      <c r="H30" s="4" t="inlineStr">
        <is>
          <t>ratio</t>
        </is>
      </c>
    </row>
    <row r="31">
      <c r="A31" s="8" t="inlineStr">
        <is>
          <t>Множитель TP (Z × TP_min)</t>
        </is>
      </c>
      <c r="B31" s="4" t="inlineStr">
        <is>
          <t>Итоговый TP на экземпляр = Z · TP_min. Пример: Z=4 при TP_min=2 → 8 GPU/экз. Условие: Z·TP_min ≤ GPU_count_server.</t>
        </is>
      </c>
      <c r="C31" s="4" t="inlineStr">
        <is>
          <t>INPUT</t>
        </is>
      </c>
      <c r="D31" s="20" t="n">
        <v>4</v>
      </c>
      <c r="H31" s="4" t="inlineStr">
        <is>
          <t>×</t>
        </is>
      </c>
    </row>
    <row r="32">
      <c r="A32" s="8" t="inlineStr">
        <is>
          <t>Ручной override числа серверов</t>
        </is>
      </c>
      <c r="B32" s="4" t="inlineStr">
        <is>
          <t>0 = авто (max из mem/compute). Задайте &gt;0, чтобы зафиксировать число серверов и посмотреть, выполняется ли SLA при такой конфигурации.</t>
        </is>
      </c>
      <c r="C32" s="4" t="inlineStr">
        <is>
          <t>INPUT</t>
        </is>
      </c>
      <c r="D32" s="20" t="n">
        <v>0</v>
      </c>
      <c r="H32" s="4" t="inlineStr">
        <is>
          <t>pcs</t>
        </is>
      </c>
    </row>
    <row r="33"/>
    <row r="34">
      <c r="A34" s="5" t="inlineStr">
        <is>
          <t>3. LLM модель</t>
        </is>
      </c>
      <c r="B34" s="6" t="n"/>
      <c r="C34" s="6" t="n"/>
      <c r="D34" s="6" t="n"/>
      <c r="E34" s="6" t="n"/>
      <c r="F34" s="6" t="n"/>
      <c r="G34" s="6" t="n"/>
      <c r="H34" s="7" t="n"/>
    </row>
    <row r="35">
      <c r="A35" s="8" t="inlineStr">
        <is>
          <t>Название модели</t>
        </is>
      </c>
      <c r="B35" s="4" t="inlineStr">
        <is>
          <t>Выбрать из списка</t>
        </is>
      </c>
      <c r="C35" s="4" t="inlineStr">
        <is>
          <t>INPUT</t>
        </is>
      </c>
      <c r="D35" s="2" t="inlineStr">
        <is>
          <t>Qwen3-30B-A3B</t>
        </is>
      </c>
      <c r="H35" s="4" t="inlineStr">
        <is>
          <t>-</t>
        </is>
      </c>
    </row>
    <row r="36">
      <c r="A36" s="8" t="inlineStr">
        <is>
          <t>P_total (полное число параметров)</t>
        </is>
      </c>
      <c r="B36" s="4" t="inlineStr">
        <is>
          <t>Авто из справочника</t>
        </is>
      </c>
      <c r="C36" s="4" t="inlineStr">
        <is>
          <t>lookup</t>
        </is>
      </c>
      <c r="D36" s="10">
        <f>IFERROR(INDEX(Reference!$B$66:$B$265,MATCH(D35,Reference!$A$66:$A$265,0)),0)</f>
        <v/>
      </c>
      <c r="H36" s="4" t="inlineStr">
        <is>
          <t>B</t>
        </is>
      </c>
    </row>
    <row r="37">
      <c r="A37" s="8" t="inlineStr">
        <is>
          <t>P_active (активных параметров)</t>
        </is>
      </c>
      <c r="B37" s="4" t="inlineStr">
        <is>
          <t>Для dense = P_total; для MoE меньше</t>
        </is>
      </c>
      <c r="C37" s="4" t="inlineStr">
        <is>
          <t>lookup</t>
        </is>
      </c>
      <c r="D37" s="10">
        <f>IFERROR(INDEX(Reference!$C$66:$C$265,MATCH(D35,Reference!$A$66:$A$265,0)),0)</f>
        <v/>
      </c>
      <c r="H37" s="4" t="inlineStr">
        <is>
          <t>B</t>
        </is>
      </c>
    </row>
    <row r="38">
      <c r="A38" s="8" t="inlineStr">
        <is>
          <t>Число слоёв (L)</t>
        </is>
      </c>
      <c r="B38" s="4" t="inlineStr">
        <is>
          <t>Авто из справочника</t>
        </is>
      </c>
      <c r="C38" s="4" t="inlineStr">
        <is>
          <t>lookup</t>
        </is>
      </c>
      <c r="D38" s="12">
        <f>IFERROR(INDEX(Reference!$D$66:$D$265,MATCH(D35,Reference!$A$66:$A$265,0)),0)</f>
        <v/>
      </c>
      <c r="H38" s="4" t="inlineStr">
        <is>
          <t>pcs</t>
        </is>
      </c>
    </row>
    <row r="39">
      <c r="A39" s="8" t="inlineStr">
        <is>
          <t>Размер скрытого состояния (H)</t>
        </is>
      </c>
      <c r="B39" s="4" t="inlineStr">
        <is>
          <t>Авто из справочника</t>
        </is>
      </c>
      <c r="C39" s="4" t="inlineStr">
        <is>
          <t>lookup</t>
        </is>
      </c>
      <c r="D39" s="12">
        <f>IFERROR(INDEX(Reference!$E$66:$E$265,MATCH(D35,Reference!$A$66:$A$265,0)),0)</f>
        <v/>
      </c>
      <c r="H39" s="4" t="inlineStr">
        <is>
          <t>pcs</t>
        </is>
      </c>
    </row>
    <row r="40">
      <c r="A40" s="8" t="inlineStr">
        <is>
          <t>Число голов внимания (N_attention)</t>
        </is>
      </c>
      <c r="B40" s="4" t="inlineStr">
        <is>
          <t>Авто из справочника</t>
        </is>
      </c>
      <c r="C40" s="4" t="inlineStr">
        <is>
          <t>lookup</t>
        </is>
      </c>
      <c r="D40" s="12">
        <f>IFERROR(INDEX(Reference!$F$66:$F$265,MATCH(D35,Reference!$A$66:$A$265,0)),0)</f>
        <v/>
      </c>
      <c r="H40" s="4" t="inlineStr">
        <is>
          <t>pcs</t>
        </is>
      </c>
    </row>
    <row r="41">
      <c r="A41" s="8" t="inlineStr">
        <is>
          <t>Число KV-голов (N_kv)</t>
        </is>
      </c>
      <c r="B41" s="4" t="inlineStr">
        <is>
          <t>Авто из справочника. MHA: =N_attn; GQA: &lt;N_attn; MQA: 1</t>
        </is>
      </c>
      <c r="C41" s="4" t="inlineStr">
        <is>
          <t>lookup</t>
        </is>
      </c>
      <c r="D41" s="12">
        <f>IFERROR(INDEX(Reference!$G$66:$G$265,MATCH(D35,Reference!$A$66:$A$265,0)),0)</f>
        <v/>
      </c>
      <c r="H41" s="4" t="inlineStr">
        <is>
          <t>pcs</t>
        </is>
      </c>
    </row>
    <row r="42">
      <c r="A42" s="8" t="inlineStr">
        <is>
          <t>Размерность одной головы (head_dim)</t>
        </is>
      </c>
      <c r="B42" s="4" t="inlineStr">
        <is>
          <t>Авто из справочника</t>
        </is>
      </c>
      <c r="C42" s="4" t="inlineStr">
        <is>
          <t>lookup</t>
        </is>
      </c>
      <c r="D42" s="12">
        <f>IFERROR(INDEX(Reference!$H$66:$H$265,MATCH(D35,Reference!$A$66:$A$265,0)),0)</f>
        <v/>
      </c>
      <c r="H42" s="4" t="inlineStr">
        <is>
          <t>pcs</t>
        </is>
      </c>
    </row>
    <row r="43">
      <c r="A43" s="8" t="inlineStr">
        <is>
          <t>Архитектура</t>
        </is>
      </c>
      <c r="B43" s="4" t="inlineStr">
        <is>
          <t>Авто из справочника (справочно)</t>
        </is>
      </c>
      <c r="C43" s="4" t="inlineStr">
        <is>
          <t>lookup</t>
        </is>
      </c>
      <c r="D43" s="3">
        <f>IFERROR(INDEX(Reference!$I$66:$I$265,MATCH(D35,Reference!$A$66:$A$265,0)),0)</f>
        <v/>
      </c>
      <c r="H43" s="4" t="inlineStr">
        <is>
          <t>-</t>
        </is>
      </c>
    </row>
    <row r="44">
      <c r="A44" s="8" t="inlineStr">
        <is>
          <t>Макс. контекстное окно модели (TS_max)</t>
        </is>
      </c>
      <c r="B44" s="4" t="inlineStr">
        <is>
          <t>Авто из справочника</t>
        </is>
      </c>
      <c r="C44" s="4" t="inlineStr">
        <is>
          <t>lookup</t>
        </is>
      </c>
      <c r="D44" s="12">
        <f>IFERROR(INDEX(Reference!$J$66:$J$265,MATCH(D35,Reference!$A$66:$A$265,0)),0)</f>
        <v/>
      </c>
      <c r="H44" s="4" t="inlineStr">
        <is>
          <t>tokens</t>
        </is>
      </c>
    </row>
    <row r="45">
      <c r="A45" s="8" t="inlineStr">
        <is>
          <t>kv_lora_rank (латент MLA)</t>
        </is>
      </c>
      <c r="B45" s="4" t="inlineStr">
        <is>
          <t>Только для MLA; 0 для MHA/GQA/MQA. DeepSeek: 512</t>
        </is>
      </c>
      <c r="C45" s="4" t="inlineStr">
        <is>
          <t>lookup</t>
        </is>
      </c>
      <c r="D45" s="12">
        <f>IFERROR(INDEX(Reference!$K$66:$K$265,MATCH(D35,Reference!$A$66:$A$265,0)),0)</f>
        <v/>
      </c>
      <c r="H45" s="4" t="inlineStr">
        <is>
          <t>-</t>
        </is>
      </c>
    </row>
    <row r="46">
      <c r="A46" s="8" t="inlineStr">
        <is>
          <t>qk_rope_head_dim (RoPE-ключ MLA)</t>
        </is>
      </c>
      <c r="B46" s="4" t="inlineStr">
        <is>
          <t>Только для MLA; 0 для MHA/GQA/MQA. DeepSeek: 64</t>
        </is>
      </c>
      <c r="C46" s="4" t="inlineStr">
        <is>
          <t>lookup</t>
        </is>
      </c>
      <c r="D46" s="12">
        <f>IFERROR(INDEX(Reference!$L$66:$L$265,MATCH(D35,Reference!$A$66:$A$265,0)),0)</f>
        <v/>
      </c>
      <c r="H46" s="4" t="inlineStr">
        <is>
          <t>-</t>
        </is>
      </c>
    </row>
    <row r="47">
      <c r="A47" s="8" t="inlineStr">
        <is>
          <t>Флаг MLA-архитектуры (derived)</t>
        </is>
      </c>
      <c r="B47" s="4" t="inlineStr">
        <is>
          <t>TRUE если kv_lora_rank &gt; 0</t>
        </is>
      </c>
      <c r="C47" s="4" t="inlineStr">
        <is>
          <t>calc</t>
        </is>
      </c>
      <c r="D47" s="3">
        <f>D45&gt;0</f>
        <v/>
      </c>
      <c r="H47" s="4" t="inlineStr">
        <is>
          <t>bool</t>
        </is>
      </c>
    </row>
    <row r="48">
      <c r="A48" s="8" t="inlineStr">
        <is>
          <t>P_dense (плотная часть, B)</t>
        </is>
      </c>
      <c r="B48" s="4" t="inlineStr">
        <is>
          <t>Для MoE: attention + embeddings (не expert-слои). 0 = использовать P_active как константу.</t>
        </is>
      </c>
      <c r="C48" s="4" t="inlineStr">
        <is>
          <t>lookup</t>
        </is>
      </c>
      <c r="D48" s="10">
        <f>IFERROR(INDEX(Reference!$M$66:$M$265,MATCH(D35,Reference!$A$66:$A$265,0)),0)</f>
        <v/>
      </c>
      <c r="H48" s="4" t="inlineStr">
        <is>
          <t>B</t>
        </is>
      </c>
    </row>
    <row r="49">
      <c r="A49" s="8" t="inlineStr">
        <is>
          <t>P_moe (сумма всех экспертов, B)</t>
        </is>
      </c>
      <c r="B49" s="4" t="inlineStr">
        <is>
          <t>Для MoE: P_total − P_dense. 0 для dense-моделей.</t>
        </is>
      </c>
      <c r="C49" s="4" t="inlineStr">
        <is>
          <t>lookup</t>
        </is>
      </c>
      <c r="D49" s="10">
        <f>IFERROR(INDEX(Reference!$N$66:$N$265,MATCH(D35,Reference!$A$66:$A$265,0)),0)</f>
        <v/>
      </c>
      <c r="H49" s="4" t="inlineStr">
        <is>
          <t>B</t>
        </is>
      </c>
    </row>
    <row r="50">
      <c r="A50" s="8" t="inlineStr">
        <is>
          <t>k_moe (top-k активаций на токен)</t>
        </is>
      </c>
      <c r="B50" s="4" t="inlineStr">
        <is>
          <t>Qwen3: 8; Mixtral: 2; DeepSeek V3: 8 routed. 0 = fallback к P_active.</t>
        </is>
      </c>
      <c r="C50" s="4" t="inlineStr">
        <is>
          <t>lookup</t>
        </is>
      </c>
      <c r="D50" s="12">
        <f>IFERROR(INDEX(Reference!$O$66:$O$265,MATCH(D35,Reference!$A$66:$A$265,0)),0)</f>
        <v/>
      </c>
      <c r="H50" s="4" t="inlineStr">
        <is>
          <t>-</t>
        </is>
      </c>
    </row>
    <row r="51">
      <c r="A51" s="8" t="inlineStr">
        <is>
          <t>N_experts (общее число экспертов)</t>
        </is>
      </c>
      <c r="B51" s="4" t="inlineStr">
        <is>
          <t>Qwen3: 128; Mixtral: 8; DeepSeek V3: 256. 0 = fallback к P_active.</t>
        </is>
      </c>
      <c r="C51" s="4" t="inlineStr">
        <is>
          <t>lookup</t>
        </is>
      </c>
      <c r="D51" s="12">
        <f>IFERROR(INDEX(Reference!$P$66:$P$265,MATCH(D35,Reference!$A$66:$A$265,0)),0)</f>
        <v/>
      </c>
      <c r="H51" s="4" t="inlineStr">
        <is>
          <t>-</t>
        </is>
      </c>
    </row>
    <row r="52">
      <c r="A52" s="8" t="inlineStr">
        <is>
          <t>Флаг детализированного MoE (derived)</t>
        </is>
      </c>
      <c r="B52" s="4" t="inlineStr">
        <is>
          <t>TRUE если k_moe &gt; 0 И N_experts &gt; 0 — тогда применяется P_effective(BS_real)</t>
        </is>
      </c>
      <c r="C52" s="4" t="inlineStr">
        <is>
          <t>calc</t>
        </is>
      </c>
      <c r="D52" s="3">
        <f>AND(D50&gt;0,D51&gt;0)</f>
        <v/>
      </c>
      <c r="H52" s="4" t="inlineStr">
        <is>
          <t>bool</t>
        </is>
      </c>
    </row>
    <row r="53">
      <c r="A53" s="8" t="inlineStr">
        <is>
          <t>Квантизация весов</t>
        </is>
      </c>
      <c r="B53" s="4" t="inlineStr">
        <is>
          <t>Выбрать из списка (FP32, FP16, FP8, INT4)</t>
        </is>
      </c>
      <c r="C53" s="4" t="inlineStr">
        <is>
          <t>INPUT</t>
        </is>
      </c>
      <c r="D53" s="2" t="inlineStr">
        <is>
          <t>FP16</t>
        </is>
      </c>
      <c r="H53" s="4" t="inlineStr">
        <is>
          <t>-</t>
        </is>
      </c>
    </row>
    <row r="54">
      <c r="A54" s="8" t="inlineStr">
        <is>
          <t>Байт на параметр (B_quant)</t>
        </is>
      </c>
      <c r="B54" s="4" t="inlineStr">
        <is>
          <t>Авто из справочника квантизаций</t>
        </is>
      </c>
      <c r="C54" s="4" t="inlineStr">
        <is>
          <t>lookup</t>
        </is>
      </c>
      <c r="D54" s="10">
        <f>IFERROR(INDEX(Reference!$B$269:$B$288,MATCH(D53,Reference!$A$269:$A$288,0)),0)</f>
        <v/>
      </c>
      <c r="H54" s="4" t="inlineStr">
        <is>
          <t>bytes</t>
        </is>
      </c>
    </row>
    <row r="55">
      <c r="A55" s="8" t="inlineStr">
        <is>
          <t>Байт на значение состояния (B_state)</t>
        </is>
      </c>
      <c r="B55" s="4" t="inlineStr">
        <is>
          <t>Обычно 2 (FP16) независимо от весов</t>
        </is>
      </c>
      <c r="C55" s="4" t="inlineStr">
        <is>
          <t>INPUT</t>
        </is>
      </c>
      <c r="D55" s="20" t="n">
        <v>2</v>
      </c>
      <c r="H55" s="4" t="inlineStr">
        <is>
          <t>bytes</t>
        </is>
      </c>
    </row>
    <row r="56">
      <c r="A56" s="8" t="inlineStr">
        <is>
          <t>EMP_model (поправка памяти весов)</t>
        </is>
      </c>
      <c r="B56" s="4" t="inlineStr">
        <is>
          <t>1.0–1.15 консервативно</t>
        </is>
      </c>
      <c r="C56" s="4" t="inlineStr">
        <is>
          <t>INPUT</t>
        </is>
      </c>
      <c r="D56" s="22" t="n">
        <v>1</v>
      </c>
      <c r="H56" s="4" t="inlineStr">
        <is>
          <t>-</t>
        </is>
      </c>
    </row>
    <row r="57">
      <c r="A57" s="8" t="inlineStr">
        <is>
          <t>EMP_kv (поправка памяти KV)</t>
        </is>
      </c>
      <c r="B57" s="4" t="inlineStr">
        <is>
          <t>1.0–1.2 для paged attention</t>
        </is>
      </c>
      <c r="C57" s="4" t="inlineStr">
        <is>
          <t>INPUT</t>
        </is>
      </c>
      <c r="D57" s="22" t="n">
        <v>1</v>
      </c>
      <c r="H57" s="4" t="inlineStr">
        <is>
          <t>-</t>
        </is>
      </c>
    </row>
    <row r="58">
      <c r="A58" s="8" t="inlineStr">
        <is>
          <t>Safe margin SM (§3.1)</t>
        </is>
      </c>
      <c r="B58" s="4" t="inlineStr">
        <is>
          <t>Служебные буферы inference-engine. vLLM V1: 2-4; vLLM V0: 3-5; SGLang: 1-3; TensorRT-LLM/NIM: 3-5; Triton inflight: 2-4; Ollama/llama.cpp: 4-6. Консервативный дефолт: 5.</t>
        </is>
      </c>
      <c r="C58" s="4" t="inlineStr">
        <is>
          <t>INPUT</t>
        </is>
      </c>
      <c r="D58" s="20" t="n">
        <v>5</v>
      </c>
      <c r="H58" s="4" t="inlineStr">
        <is>
          <t>GiB</t>
        </is>
      </c>
    </row>
    <row r="59"/>
    <row r="60">
      <c r="A60" s="5" t="inlineStr">
        <is>
          <t>5. Калибровочные коэффициенты</t>
        </is>
      </c>
      <c r="B60" s="6" t="n"/>
      <c r="C60" s="6" t="n"/>
      <c r="D60" s="6" t="n"/>
      <c r="E60" s="6" t="n"/>
      <c r="F60" s="6" t="n"/>
      <c r="G60" s="6" t="n"/>
      <c r="H60" s="7" t="n"/>
    </row>
    <row r="61">
      <c r="A61" s="8" t="inlineStr">
        <is>
          <t>η_pf (компьют prefill) §Е.5</t>
        </is>
      </c>
      <c r="B61" s="4" t="inlineStr">
        <is>
          <t>Dense 0.15–0.30; MoE+vLLM 0.08–0.12 (static); MoE+vLLM FP8 continuous: 0.04–0.10 (BS=1) → 0.01–0.05 (BS=18). BS-зависим в continuous режиме (§Е.6). Дефолт 0.167 — калиброван на vLLM FP8 фикстуре (TTFT 180 точек).</t>
        </is>
      </c>
      <c r="C61" s="4" t="inlineStr">
        <is>
          <t>INPUT</t>
        </is>
      </c>
      <c r="D61" s="22" t="n">
        <v>0.167</v>
      </c>
      <c r="H61" s="4" t="inlineStr">
        <is>
          <t>-</t>
        </is>
      </c>
    </row>
    <row r="62">
      <c r="A62" s="8" t="inlineStr">
        <is>
          <t>η_dec (компьют decode) §Е.5</t>
        </is>
      </c>
      <c r="B62" s="4" t="inlineStr">
        <is>
          <t>Dense 0.10–0.25; MoE 0.02–0.05. Для memory-bound decode (типично для MoE) η_dec не лимитирует — Th_dec=min(compute,mem) выбирает mem-ограничение. Дефолт 0.20 — согласован с forecast-скриптом и методологией §Е.5.</t>
        </is>
      </c>
      <c r="C62" s="4" t="inlineStr">
        <is>
          <t>INPUT</t>
        </is>
      </c>
      <c r="D62" s="22" t="n">
        <v>0.2</v>
      </c>
      <c r="H62" s="4" t="inlineStr">
        <is>
          <t>-</t>
        </is>
      </c>
    </row>
    <row r="63">
      <c r="A63" s="8" t="inlineStr">
        <is>
          <t>η_mem (memory-bandwidth decode) §Е.5</t>
        </is>
      </c>
      <c r="B63" s="4" t="inlineStr">
        <is>
          <t>Dense 0.40–0.60; MoE 0.25–0.40; MoE+TP&gt;1 0.20–0.35; MoE+vLLM FP8 на H100/H200 при BS≥8: 0.40–0.45. Калибровать при целевом BS_real (§Е.6). Дефолт 0.36 — калиброван на vLLM FP8 фикстуре (TPOT 180 точек).</t>
        </is>
      </c>
      <c r="C63" s="4" t="inlineStr">
        <is>
          <t>INPUT</t>
        </is>
      </c>
      <c r="D63" s="22" t="n">
        <v>0.36</v>
      </c>
      <c r="H63" s="4" t="inlineStr">
        <is>
          <t>-</t>
        </is>
      </c>
    </row>
    <row r="64">
      <c r="A64" s="8" t="inlineStr">
        <is>
          <t>C (коэф. насыщения от батча) §А</t>
        </is>
      </c>
      <c r="B64" s="4" t="inlineStr">
        <is>
          <t>C=t_fix/t_lin. Dense ≤40GB: 4-6; Dense 80GB: 6-10; MoE/MLA: 8-16; TP≥4 + большой GPU: 10-16. Дефолт 6 — согласован с forecast-скриптом для Qwen3-32B на H200.</t>
        </is>
      </c>
      <c r="C64" s="4" t="inlineStr">
        <is>
          <t>INPUT</t>
        </is>
      </c>
      <c r="D64" s="20" t="n">
        <v>6</v>
      </c>
      <c r="H64" s="4" t="inlineStr">
        <is>
          <t>-</t>
        </is>
      </c>
    </row>
    <row r="65">
      <c r="A65" s="8" t="inlineStr">
        <is>
          <t>Th_pf эмпирический (опционально)</t>
        </is>
      </c>
      <c r="B65" s="4" t="inlineStr">
        <is>
          <t>0 = использовать аналитическую формулу</t>
        </is>
      </c>
      <c r="C65" s="4" t="inlineStr">
        <is>
          <t>INPUT</t>
        </is>
      </c>
      <c r="D65" s="20" t="n">
        <v>0</v>
      </c>
      <c r="H65" s="4" t="inlineStr">
        <is>
          <t>tok/s</t>
        </is>
      </c>
    </row>
    <row r="66">
      <c r="A66" s="8" t="inlineStr">
        <is>
          <t>Th_dec эмпирический (опционально)</t>
        </is>
      </c>
      <c r="B66" s="4" t="inlineStr">
        <is>
          <t>0 = использовать аналитическую формулу</t>
        </is>
      </c>
      <c r="C66" s="4" t="inlineStr">
        <is>
          <t>INPUT</t>
        </is>
      </c>
      <c r="D66" s="20" t="n">
        <v>0</v>
      </c>
      <c r="H66" s="4" t="inlineStr">
        <is>
          <t>tok/s</t>
        </is>
      </c>
    </row>
    <row r="67">
      <c r="A67" s="8" t="inlineStr">
        <is>
          <t>η_cache (префикс-кэширование, опц.)</t>
        </is>
      </c>
      <c r="B67" s="4" t="inlineStr">
        <is>
          <t>Доля prefill, обслуженная из кэша префиксов (§3.1 H-5). 0 = выкл. Чат с системным промптом: 0.3–0.5. RAG: 0.1–0.3. Агент: 0.5–0.8. Default 0.3 предполагает автоматическое prefix caching в vLLM/SGLang.</t>
        </is>
      </c>
      <c r="C67" s="4" t="inlineStr">
        <is>
          <t>INPUT</t>
        </is>
      </c>
      <c r="D67" s="33" t="n">
        <v>0.3</v>
      </c>
      <c r="H67" s="4" t="inlineStr">
        <is>
          <t>ratio</t>
        </is>
      </c>
    </row>
    <row r="68">
      <c r="A68" s="8" t="inlineStr">
        <is>
          <t>K_spec (speculative decoding, опц.)</t>
        </is>
      </c>
      <c r="B68" s="4" t="inlineStr">
        <is>
          <t>Среднее число принятых токенов/шаг (§3.1 H-5). 1.0 = выкл. EAGLE-3: 1.8–2.5; MTP для DeepSeek-V3: ~1.5–1.8.</t>
        </is>
      </c>
      <c r="C68" s="4" t="inlineStr">
        <is>
          <t>INPUT</t>
        </is>
      </c>
      <c r="D68" s="22" t="n">
        <v>1</v>
      </c>
      <c r="H68" s="4" t="inlineStr">
        <is>
          <t>-</t>
        </is>
      </c>
    </row>
    <row r="69">
      <c r="A69" s="8" t="inlineStr">
        <is>
          <t>Режим engine (§6.1)</t>
        </is>
      </c>
      <c r="B69" s="4" t="inlineStr">
        <is>
          <t>continuous: vLLM, SGLang, TGI (prefill делит bandwidth с decode). static: offline-скрипты, NVIDIA Triton без inflight batching.</t>
        </is>
      </c>
      <c r="C69" s="4" t="inlineStr">
        <is>
          <t>INPUT</t>
        </is>
      </c>
      <c r="D69" s="2" t="inlineStr">
        <is>
          <t>continuous</t>
        </is>
      </c>
    </row>
    <row r="70">
      <c r="A70" s="8" t="inlineStr">
        <is>
          <t>C_pf (chunked-prefill step budget)</t>
        </is>
      </c>
      <c r="B70" s="4" t="inlineStr">
        <is>
          <t>Только для engine_mode=continuous. Параметр engine (vLLM: max_num_batched_tokens минус decode-доля). Типично 32-512 токенов. Игнорируется при engine_mode=static.</t>
        </is>
      </c>
      <c r="C70" s="4" t="inlineStr">
        <is>
          <t>INPUT</t>
        </is>
      </c>
      <c r="D70" s="20" t="n">
        <v>256</v>
      </c>
      <c r="H70" s="4" t="inlineStr">
        <is>
          <t>tokens</t>
        </is>
      </c>
    </row>
    <row r="71">
      <c r="A71" s="8" t="inlineStr">
        <is>
          <t>T_overhead (TTFT overhead, §7.1)</t>
        </is>
      </c>
      <c r="B71" s="4" t="inlineStr">
        <is>
          <t>Постоянный per-request overhead TTFT: tokenization + LiteLLM/Envoy proxy + HTTP/gRPC + admission + pre/post guardrails БЕЗ LLM-вызова (PII regex, brand-voice regex). LLM-guardrails (moderation/factuality) — через K_calls в Agentic. Типично: vLLM+LiteLLM 0.015-0.040; in-process 0.005-0.015; offline 0. Дефолт 0.026 — калиброван на vLLM фикстуре (C=1 cold TTFT сегмент).</t>
        </is>
      </c>
      <c r="C71" s="4" t="inlineStr">
        <is>
          <t>INPUT</t>
        </is>
      </c>
      <c r="D71" s="34" t="n">
        <v>0.026</v>
      </c>
      <c r="H71" s="4" t="inlineStr">
        <is>
          <t>s</t>
        </is>
      </c>
    </row>
    <row r="72">
      <c r="A72" s="8" t="inlineStr">
        <is>
          <t>O_fixed (per-forward overhead, §6.2)</t>
        </is>
      </c>
      <c r="B72" s="4" t="inlineStr">
        <is>
          <t>Фиксированный overhead memory traffic за forward pass, GB. Учитывает MoE dispatcher, FP8 dequant scratch, kernel launch. Dense BF16 модели: 0 (нет overhead). MoE + FP8 на H100/H200 vLLM: 8-10 GB (калибровано vs Qwen3-30B-A3B @ EvalScope, см. docs/reports/vllm_fixture_verification.md). Применяется в знаменателе Th_dec_mem и Th_pf_cb_mem.</t>
        </is>
      </c>
      <c r="C72" s="4" t="inlineStr">
        <is>
          <t>INPUT</t>
        </is>
      </c>
      <c r="D72" s="22" t="n">
        <v>0</v>
      </c>
      <c r="H72" s="4" t="inlineStr">
        <is>
          <t>GB</t>
        </is>
      </c>
    </row>
    <row r="73"/>
    <row r="74">
      <c r="A74" s="5" t="inlineStr">
        <is>
          <t>6-7. Целевые значения SLA</t>
        </is>
      </c>
      <c r="B74" s="6" t="n"/>
      <c r="C74" s="6" t="n"/>
      <c r="D74" s="6" t="n"/>
      <c r="E74" s="6" t="n"/>
      <c r="F74" s="6" t="n"/>
      <c r="G74" s="6" t="n"/>
      <c r="H74" s="7" t="n"/>
    </row>
    <row r="75">
      <c r="A75" s="8" t="inlineStr">
        <is>
          <t>Запросов/с на одну сессию (R)</t>
        </is>
      </c>
      <c r="B75" s="4" t="inlineStr">
        <is>
          <t>Чат 0.017–0.033 (1 запрос / 30-60 сек)</t>
        </is>
      </c>
      <c r="C75" s="4" t="inlineStr">
        <is>
          <t>INPUT</t>
        </is>
      </c>
      <c r="D75" s="34" t="n">
        <v>0.02</v>
      </c>
      <c r="H75" s="4" t="inlineStr">
        <is>
          <t>req/s</t>
        </is>
      </c>
    </row>
    <row r="76">
      <c r="A76" s="8" t="inlineStr">
        <is>
          <t>Коэффициент запаса SLA (K_SLA)</t>
        </is>
      </c>
      <c r="B76" s="4" t="inlineStr">
        <is>
          <t>1.25–2.0 — запас под пик/дисперсию</t>
        </is>
      </c>
      <c r="C76" s="4" t="inlineStr">
        <is>
          <t>INPUT</t>
        </is>
      </c>
      <c r="D76" s="22" t="n">
        <v>1.25</v>
      </c>
      <c r="H76" s="4" t="inlineStr">
        <is>
          <t>-</t>
        </is>
      </c>
    </row>
    <row r="77">
      <c r="A77" s="8" t="inlineStr">
        <is>
          <t>Целевое TTFT_SLA</t>
        </is>
      </c>
      <c r="B77" s="4" t="inlineStr">
        <is>
          <t>Time-to-first-token, секунды</t>
        </is>
      </c>
      <c r="C77" s="4" t="inlineStr">
        <is>
          <t>INPUT</t>
        </is>
      </c>
      <c r="D77" s="22" t="n">
        <v>1</v>
      </c>
      <c r="H77" s="4" t="inlineStr">
        <is>
          <t>s</t>
        </is>
      </c>
    </row>
    <row r="78">
      <c r="A78" s="8" t="inlineStr">
        <is>
          <t>Целевое e2eLatency_SLA</t>
        </is>
      </c>
      <c r="B78" s="4" t="inlineStr">
        <is>
          <t>End-to-end задержка, секунды</t>
        </is>
      </c>
      <c r="C78" s="4" t="inlineStr">
        <is>
          <t>INPUT</t>
        </is>
      </c>
      <c r="D78" s="22" t="n">
        <v>5</v>
      </c>
      <c r="H78" s="4" t="inlineStr">
        <is>
          <t>s</t>
        </is>
      </c>
    </row>
    <row r="79"/>
    <row r="80">
      <c r="A80" s="5" t="inlineStr">
        <is>
          <t>2.3. Эффективные значения нагрузки (§2.2, Приложение В.3) — рассчитываются автоматически из Inputs и Agentic</t>
        </is>
      </c>
    </row>
    <row r="81">
      <c r="A81" s="8" t="inlineStr">
        <is>
          <t>Вызовов LLM на ход (K_calls)</t>
        </is>
      </c>
      <c r="B81" s="4" t="inlineStr">
        <is>
          <t>Agentic!D23; 1 для неагентного сценария</t>
        </is>
      </c>
      <c r="C81" s="4" t="inlineStr">
        <is>
          <t>calc</t>
        </is>
      </c>
      <c r="D81" s="12">
        <f>MAX(1,Agentic!D23)</f>
        <v/>
      </c>
      <c r="E81" t="inlineStr">
        <is>
          <t>pcs</t>
        </is>
      </c>
      <c r="H81" s="4" t="n"/>
    </row>
    <row r="82">
      <c r="A82" s="8" t="inlineStr">
        <is>
          <t>Число LLM-вызовов в истории (m)</t>
        </is>
      </c>
      <c r="B82" s="4" t="inlineStr">
        <is>
          <t>m = N_prp · K_calls</t>
        </is>
      </c>
      <c r="C82" s="4" t="inlineStr">
        <is>
          <t>calc</t>
        </is>
      </c>
      <c r="D82" s="12">
        <f>D19*D81</f>
        <v/>
      </c>
      <c r="E82" t="inlineStr">
        <is>
          <t>pcs</t>
        </is>
      </c>
      <c r="H82" s="4" t="n"/>
    </row>
    <row r="83">
      <c r="A83" s="8" t="inlineStr">
        <is>
          <t>Системный промпт эффективный (SP_eff)</t>
        </is>
      </c>
      <c r="B83" s="4" t="inlineStr">
        <is>
          <t>SP + SP_tools + C_rag_static</t>
        </is>
      </c>
      <c r="C83" s="4" t="inlineStr">
        <is>
          <t>calc</t>
        </is>
      </c>
      <c r="D83" s="12">
        <f>Agentic!D30</f>
        <v/>
      </c>
      <c r="E83" t="inlineStr">
        <is>
          <t>tokens</t>
        </is>
      </c>
      <c r="H83" s="4" t="n"/>
    </row>
    <row r="84">
      <c r="A84" s="8" t="inlineStr">
        <is>
          <t>Запрос эффективный (Prp_eff)</t>
        </is>
      </c>
      <c r="B84" s="4" t="inlineStr">
        <is>
          <t>Prp + C_rag_dynamic</t>
        </is>
      </c>
      <c r="C84" s="4" t="inlineStr">
        <is>
          <t>calc</t>
        </is>
      </c>
      <c r="D84" s="12">
        <f>Agentic!D31</f>
        <v/>
      </c>
      <c r="E84" t="inlineStr">
        <is>
          <t>tokens</t>
        </is>
      </c>
      <c r="H84" s="4" t="n"/>
    </row>
    <row r="85">
      <c r="A85" s="8" t="inlineStr">
        <is>
          <t>Ответ эффективный (A_eff)</t>
        </is>
      </c>
      <c r="B85" s="4" t="inlineStr">
        <is>
          <t>A + A_tool</t>
        </is>
      </c>
      <c r="C85" s="4" t="inlineStr">
        <is>
          <t>calc</t>
        </is>
      </c>
      <c r="D85" s="12">
        <f>Agentic!D32</f>
        <v/>
      </c>
      <c r="E85" t="inlineStr">
        <is>
          <t>tokens</t>
        </is>
      </c>
      <c r="H85" s="4" t="n"/>
    </row>
    <row r="86">
      <c r="A86" s="8" t="inlineStr">
        <is>
          <t>Reasoning текущего вызова (MRT)</t>
        </is>
      </c>
      <c r="B86" s="4" t="inlineStr">
        <is>
          <t>Генерируется на каждом вызове</t>
        </is>
      </c>
      <c r="C86" s="4" t="inlineStr">
        <is>
          <t>calc</t>
        </is>
      </c>
      <c r="D86" s="12">
        <f>Agentic!D33</f>
        <v/>
      </c>
      <c r="E86" t="inlineStr">
        <is>
          <t>tokens</t>
        </is>
      </c>
      <c r="H86" s="4" t="n"/>
    </row>
    <row r="87">
      <c r="A87" s="8" t="inlineStr">
        <is>
          <t>Reasoning в истории (h_reason · MRT)</t>
        </is>
      </c>
      <c r="B87" s="4" t="inlineStr">
        <is>
          <t>0 при h_reason = 0</t>
        </is>
      </c>
      <c r="C87" s="4" t="inlineStr">
        <is>
          <t>calc</t>
        </is>
      </c>
      <c r="D87" s="12">
        <f>D23*D86</f>
        <v/>
      </c>
      <c r="E87" t="inlineStr">
        <is>
          <t>tokens</t>
        </is>
      </c>
      <c r="H87" s="4" t="n"/>
    </row>
    <row r="88">
      <c r="A88" s="8" t="inlineStr">
        <is>
          <t>Вход prefill до окна (SL_pf^raw)</t>
        </is>
      </c>
      <c r="B88" s="4" t="inlineStr">
        <is>
          <t>SP_eff + m·Prp_eff + (m−1)·(A_eff + h_reason·MRT)</t>
        </is>
      </c>
      <c r="C88" s="4" t="inlineStr">
        <is>
          <t>calc</t>
        </is>
      </c>
      <c r="D88" s="12">
        <f>D83+D82*D84+MAX(0,D82-1)*(D85+D87)</f>
        <v/>
      </c>
      <c r="E88" t="inlineStr">
        <is>
          <t>tokens</t>
        </is>
      </c>
      <c r="H88" s="4" t="n"/>
    </row>
    <row r="89">
      <c r="A89" s="8" t="inlineStr">
        <is>
          <t>Интенсивность вызовов (R_eff = R · K_calls)</t>
        </is>
      </c>
      <c r="B89" s="4" t="inlineStr">
        <is>
          <t>Используется в §6.4 и §9</t>
        </is>
      </c>
      <c r="C89" s="4" t="inlineStr">
        <is>
          <t>calc</t>
        </is>
      </c>
      <c r="D89" s="12">
        <f>D75*D81</f>
        <v/>
      </c>
      <c r="E89" t="inlineStr">
        <is>
          <t>req/s</t>
        </is>
      </c>
      <c r="H89" s="4" t="n"/>
    </row>
    <row r="90">
      <c r="A90" s="8" t="inlineStr">
        <is>
          <t>Размерность attention prefill (d_attn^pf)</t>
        </is>
      </c>
      <c r="B90" s="4" t="inlineStr">
        <is>
          <t>MHA/GQA/MQA: N_attn·head_dim; MLA: N_attn·(2·qk_head_dim − rope)/2 (§6.1)</t>
        </is>
      </c>
      <c r="C90" s="4" t="inlineStr">
        <is>
          <t>calc</t>
        </is>
      </c>
      <c r="D90" s="12">
        <f>IF(D47,D40*(2*D42-D46)/2,D40*IF(D42&gt;0,D42,D39/D40))</f>
        <v/>
      </c>
      <c r="E90" t="inlineStr">
        <is>
          <t>-</t>
        </is>
      </c>
      <c r="H90" s="4" t="n"/>
    </row>
    <row r="91">
      <c r="A91" s="8" t="inlineStr">
        <is>
          <t>Размерность attention decode (d_attn^dec)</t>
        </is>
      </c>
      <c r="B91" s="4" t="inlineStr">
        <is>
          <t>MHA/GQA/MQA: = d_attn^pf; MLA: N_attn·(2·kv_lora_rank + rope)/2 (§6.1)</t>
        </is>
      </c>
      <c r="C91" s="4" t="inlineStr">
        <is>
          <t>calc</t>
        </is>
      </c>
      <c r="D91" s="12">
        <f>IF(D47,D40*(2*D45+D46)/2,D90)</f>
        <v/>
      </c>
      <c r="E91" t="inlineStr">
        <is>
          <t>-</t>
        </is>
      </c>
      <c r="H91" s="4" t="n"/>
    </row>
    <row r="92">
      <c r="A92" s="8" t="inlineStr">
        <is>
          <t>Проверка контекстного окна</t>
        </is>
      </c>
      <c r="B92" s="4" t="inlineStr">
        <is>
          <t>T_dec &lt; TS_max обязательно; при SL_pf &lt; SL_pf^raw история усечена окном</t>
        </is>
      </c>
      <c r="C92" s="4" t="inlineStr">
        <is>
          <t>calc</t>
        </is>
      </c>
      <c r="D92" s="12">
        <f>IF(D22&gt;=D44,"✗ FAIL: T_dec ≥ TS_max — генерация не помещается в окно",IF(D21&lt;D88,"⚠ история усечена окном: SL_pf &lt; SL_pf^raw","✓ OK"))</f>
        <v/>
      </c>
      <c r="E92" t="inlineStr">
        <is>
          <t>status</t>
        </is>
      </c>
      <c r="H92" s="4" t="n"/>
    </row>
  </sheetData>
  <mergeCells count="8">
    <mergeCell ref="A4:H4"/>
    <mergeCell ref="A80:H80"/>
    <mergeCell ref="A24:H24"/>
    <mergeCell ref="A60:H60"/>
    <mergeCell ref="A14:H14"/>
    <mergeCell ref="A1:H1"/>
    <mergeCell ref="A74:H74"/>
    <mergeCell ref="A34:H34"/>
  </mergeCells>
  <dataValidations count="5">
    <dataValidation sqref="D25" showDropDown="0" showInputMessage="0" showErrorMessage="0" allowBlank="1" error="Выберите GPU из справочника" type="list">
      <formula1>=Reference!$A$3:$A$62</formula1>
    </dataValidation>
    <dataValidation sqref="D35" showDropDown="0" showInputMessage="0" showErrorMessage="0" allowBlank="1" error="Выберите LLM из справочника" type="list">
      <formula1>=Reference!$A$66:$A$265</formula1>
    </dataValidation>
    <dataValidation sqref="D53" showDropDown="0" showInputMessage="0" showErrorMessage="0" allowBlank="1" error="Выберите формат квантизации" type="list">
      <formula1>=Reference!$A$269:$A$288</formula1>
    </dataValidation>
    <dataValidation sqref="D69" showDropDown="0" showInputMessage="0" showErrorMessage="0" allowBlank="1" error="Выберите режим engine" type="list">
      <formula1>"continuous,static"</formula1>
    </dataValidation>
    <dataValidation sqref="D23" showDropDown="0" showInputMessage="0" showErrorMessage="0" allowBlank="0" type="list">
      <formula1>"0,1"</formula1>
    </dataValidation>
  </dataValidations>
  <printOptions horizontalCentered="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19"/>
  <sheetViews>
    <sheetView workbookViewId="0">
      <selection activeCell="A1" sqref="A1"/>
    </sheetView>
  </sheetViews>
  <sheetFormatPr baseColWidth="8" defaultRowHeight="15"/>
  <cols>
    <col width="48" customWidth="1" min="1" max="1"/>
    <col width="62" customWidth="1" min="2" max="2"/>
    <col width="11" customWidth="1" min="3" max="3"/>
    <col width="70" customWidth="1" min="4" max="4"/>
    <col width="12" customWidth="1" min="5" max="5"/>
    <col width="20" customWidth="1" min="6" max="6"/>
  </cols>
  <sheetData>
    <row r="1">
      <c r="A1" s="1" t="inlineStr">
        <is>
          <t>Расчёт GPU-инфраструктуры — пошаговое вычисление</t>
        </is>
      </c>
    </row>
    <row r="2">
      <c r="A2" s="2" t="inlineStr">
        <is>
          <t>Ввод (INPUT)</t>
        </is>
      </c>
      <c r="B2" s="3" t="inlineStr">
        <is>
          <t>Расчёт / Итог (bold)</t>
        </is>
      </c>
      <c r="C2" s="4" t="inlineStr">
        <is>
          <t>Проверка ✓/✗ — окрашивается по результату</t>
        </is>
      </c>
    </row>
    <row r="3"/>
    <row r="4">
      <c r="A4" s="5" t="inlineStr">
        <is>
          <t>3. Память GPU для модели и KV-кэша</t>
        </is>
      </c>
      <c r="B4" s="6" t="n"/>
      <c r="C4" s="6" t="n"/>
      <c r="D4" s="6" t="n"/>
      <c r="E4" s="6" t="n"/>
      <c r="F4" s="7" t="n"/>
    </row>
    <row r="5">
      <c r="A5" s="8" t="inlineStr">
        <is>
          <t>Память весов модели (M_model)</t>
        </is>
      </c>
      <c r="B5" s="4" t="inlineStr">
        <is>
          <t>(P_total · 10⁹ · B_quant / 1024³) · EMP_model + SM</t>
        </is>
      </c>
      <c r="C5" s="4" t="inlineStr">
        <is>
          <t>calc</t>
        </is>
      </c>
      <c r="D5" s="10">
        <f>(Inputs!D36*10^9*Inputs!D54)/1024^3*Inputs!D56+Inputs!D58</f>
        <v/>
      </c>
      <c r="E5" s="4" t="inlineStr">
        <is>
          <t>GiB</t>
        </is>
      </c>
      <c r="F5" s="4" t="inlineStr">
        <is>
          <t>🟡 nvidia-smi</t>
        </is>
      </c>
    </row>
    <row r="6">
      <c r="A6" s="8" t="inlineStr">
        <is>
          <t>SL для KV-кэша (min(TS, TS_max))</t>
        </is>
      </c>
      <c r="B6" s="4" t="inlineStr">
        <is>
          <t>SL = SL_pf + T_dec = min(TS, TS_max) (§2.2)</t>
        </is>
      </c>
      <c r="C6" s="4" t="inlineStr">
        <is>
          <t>calc</t>
        </is>
      </c>
      <c r="D6" s="12">
        <f>MIN(Inputs!D20,Inputs!D44)</f>
        <v/>
      </c>
      <c r="E6" s="4" t="inlineStr">
        <is>
          <t>tokens</t>
        </is>
      </c>
      <c r="F6" s="4" t="inlineStr">
        <is>
          <t>🔵 methodology</t>
        </is>
      </c>
    </row>
    <row r="7">
      <c r="A7" s="8" t="inlineStr">
        <is>
          <t>Память KV-кэша на 1 сессию (M_KV^S=1)</t>
        </is>
      </c>
      <c r="B7" s="4" t="inlineStr">
        <is>
          <t>MLA: L·(kv_lora_rank+qk_rope)·SL·B_state·EMP_kv/1024³; иначе: 2·L·N_kv·head_dim·SL·B_state·EMP_kv/1024³</t>
        </is>
      </c>
      <c r="C7" s="4" t="inlineStr">
        <is>
          <t>calc</t>
        </is>
      </c>
      <c r="D7" s="10">
        <f>IF(Inputs!D47,Inputs!D38*(Inputs!D45+Inputs!D46)*D6*Inputs!D55*Inputs!D57/1024^3,2*Inputs!D38*Inputs!D41*Inputs!D42*D6*Inputs!D55*Inputs!D57/1024^3)</f>
        <v/>
      </c>
      <c r="E7" s="4" t="inlineStr">
        <is>
          <t>GiB</t>
        </is>
      </c>
      <c r="F7" s="4" t="inlineStr">
        <is>
          <t>🟡 nvidia-smi</t>
        </is>
      </c>
    </row>
    <row r="8"/>
    <row r="9">
      <c r="A9" s="5" t="inlineStr">
        <is>
          <t>4. Tensor Parallelism — оптимизация памяти</t>
        </is>
      </c>
      <c r="B9" s="6" t="n"/>
      <c r="C9" s="6" t="n"/>
      <c r="D9" s="6" t="n"/>
      <c r="E9" s="6" t="n"/>
      <c r="F9" s="7" t="n"/>
    </row>
    <row r="10">
      <c r="A10" s="8" t="inlineStr">
        <is>
          <t>Мин. число GPU на экземпляр (TP_min)</t>
        </is>
      </c>
      <c r="B10" s="4" t="inlineStr">
        <is>
          <t>CEILING(M_model / (GPU_memory · K_avail))</t>
        </is>
      </c>
      <c r="C10" s="4" t="inlineStr">
        <is>
          <t>calc</t>
        </is>
      </c>
      <c r="D10" s="12">
        <f>CEILING(D5/(Inputs!D26*Inputs!D30),1)</f>
        <v/>
      </c>
      <c r="E10" s="4" t="inlineStr">
        <is>
          <t>pcs</t>
        </is>
      </c>
      <c r="F10" s="4" t="inlineStr">
        <is>
          <t>🔵 methodology</t>
        </is>
      </c>
    </row>
    <row r="11">
      <c r="A11" s="8" t="inlineStr">
        <is>
          <t>GPU на экземпляр при TP=Z</t>
        </is>
      </c>
      <c r="B11" s="4" t="inlineStr">
        <is>
          <t>Z · GPU_count_min</t>
        </is>
      </c>
      <c r="C11" s="4" t="inlineStr">
        <is>
          <t>calc</t>
        </is>
      </c>
      <c r="D11" s="12">
        <f>Inputs!D31*D10</f>
        <v/>
      </c>
      <c r="E11" s="4" t="inlineStr">
        <is>
          <t>pcs</t>
        </is>
      </c>
      <c r="F11" s="4" t="inlineStr">
        <is>
          <t>🔵 methodology</t>
        </is>
      </c>
    </row>
    <row r="12">
      <c r="A12" s="8" t="inlineStr">
        <is>
          <t>Число экземпляров на сервер (N_TP=Z)</t>
        </is>
      </c>
      <c r="B12" s="4" t="inlineStr">
        <is>
          <t>FLOOR(GPU_count_server / GPU_per_inst)</t>
        </is>
      </c>
      <c r="C12" s="4" t="inlineStr">
        <is>
          <t>calc</t>
        </is>
      </c>
      <c r="D12" s="12">
        <f>FLOOR(Inputs!D29/D11,1)</f>
        <v/>
      </c>
      <c r="E12" s="4" t="inlineStr">
        <is>
          <t>pcs</t>
        </is>
      </c>
      <c r="F12" s="4" t="inlineStr">
        <is>
          <t>🟡 vLLM logs</t>
        </is>
      </c>
    </row>
    <row r="13" ht="42" customHeight="1">
      <c r="A13" s="8" t="inlineStr">
        <is>
          <t>Модель помещается на сервер</t>
        </is>
      </c>
      <c r="B13" s="4" t="inlineStr">
        <is>
          <t>GPU_per_inst ≤ GPU_count_server</t>
        </is>
      </c>
      <c r="C13" s="4" t="inlineStr">
        <is>
          <t>calc</t>
        </is>
      </c>
      <c r="D13" s="9">
        <f>IF(D11&lt;=Inputs!D29,"✓ OK","✗ FAIL: уменьшите Z или смените GPU — сейчас нужно "&amp;D11&amp;" GPU/экз.,  доступно "&amp;Inputs!D29&amp;" на сервере")</f>
        <v/>
      </c>
      <c r="E13" s="4" t="inlineStr">
        <is>
          <t>status</t>
        </is>
      </c>
      <c r="F13" s="4" t="inlineStr">
        <is>
          <t>🟢 deployment</t>
        </is>
      </c>
    </row>
    <row r="14">
      <c r="A14" s="8" t="inlineStr">
        <is>
          <t>Свободная память под KV на экземпляр</t>
        </is>
      </c>
      <c r="B14" s="4" t="inlineStr">
        <is>
          <t>GPU_per_inst · GPU_memory · K_avail − M_model</t>
        </is>
      </c>
      <c r="C14" s="4" t="inlineStr">
        <is>
          <t>calc</t>
        </is>
      </c>
      <c r="D14" s="10">
        <f>D11*Inputs!D26*Inputs!D30-D5</f>
        <v/>
      </c>
      <c r="E14" s="4" t="inlineStr">
        <is>
          <t>GiB</t>
        </is>
      </c>
      <c r="F14" s="4" t="inlineStr">
        <is>
          <t>🟡 nvidia-smi</t>
        </is>
      </c>
    </row>
    <row r="15">
      <c r="A15" s="8" t="inlineStr">
        <is>
          <t>Макс. сессий на экземпляр (S_TP=Z)</t>
        </is>
      </c>
      <c r="B15" s="4" t="inlineStr">
        <is>
          <t>MLA: ⌊GPU_memForKV/(GPU_per_inst·M_KV)⌋ (латент реплицируется); иначе: ⌊GPU_memForKV·min(GPU_per_inst,N_kv)/(M_KV·GPU_per_inst)⌋</t>
        </is>
      </c>
      <c r="C15" s="4" t="inlineStr">
        <is>
          <t>calc</t>
        </is>
      </c>
      <c r="D15" s="12">
        <f>IF(D7&gt;0,IF(Inputs!D47,FLOOR(D14/(D11*D7),1),FLOOR(D14*MIN(D11,Inputs!D41)/(D7*D11),1)),0)</f>
        <v/>
      </c>
      <c r="E15" s="4" t="inlineStr">
        <is>
          <t>sess.</t>
        </is>
      </c>
      <c r="F15" s="4" t="inlineStr">
        <is>
          <t>🟡 vLLM logs</t>
        </is>
      </c>
    </row>
    <row r="16">
      <c r="A16" s="8" t="inlineStr">
        <is>
          <t>Свободная память под KV при TP_min</t>
        </is>
      </c>
      <c r="B16" s="4" t="inlineStr">
        <is>
          <t>GPU_count_min · GPU_memory · K_avail − M_model</t>
        </is>
      </c>
      <c r="C16" s="4" t="inlineStr">
        <is>
          <t>calc</t>
        </is>
      </c>
      <c r="D16" s="10">
        <f>D10*Inputs!D26*Inputs!D30-D5</f>
        <v/>
      </c>
      <c r="E16" s="4" t="inlineStr">
        <is>
          <t>GiB</t>
        </is>
      </c>
      <c r="F16" s="4" t="inlineStr">
        <is>
          <t>🟡 nvidia-smi</t>
        </is>
      </c>
    </row>
    <row r="17">
      <c r="A17" s="8" t="inlineStr">
        <is>
          <t>Макс. сессий при TP=TP_min (S_TP=TP_min)</t>
        </is>
      </c>
      <c r="B17" s="4" t="inlineStr">
        <is>
          <t>База для K_batch (Z=1, TP=TP_min); стандарт: ⌊GPU_mem_kv_min·min(TP_min,N_kv)/(M_KV·TP_min)⌋; MLA: латент реплицируется на всех TP_min ранках</t>
        </is>
      </c>
      <c r="C17" s="4" t="inlineStr">
        <is>
          <t>calc</t>
        </is>
      </c>
      <c r="D17" s="12">
        <f>IF(D7&gt;0,IF(Inputs!D47,FLOOR(D16/(D10*D7),1),FLOOR(D16*MIN(D10,Inputs!D41)/(D7*D10),1)),0)</f>
        <v/>
      </c>
      <c r="E17" s="4" t="inlineStr">
        <is>
          <t>sess.</t>
        </is>
      </c>
      <c r="F17" s="4" t="inlineStr">
        <is>
          <t>🟡 vLLM logs</t>
        </is>
      </c>
    </row>
    <row r="18">
      <c r="A18" s="8" t="inlineStr">
        <is>
          <t>Коэф. прироста throughput от TP (K_batch)</t>
        </is>
      </c>
      <c r="B18" s="4" t="inlineStr">
        <is>
          <t>(S_TP=Z/S_TP=TP_min) · (S_TP=TP_min + C)/(S_TP=Z + C)</t>
        </is>
      </c>
      <c r="C18" s="4" t="inlineStr">
        <is>
          <t>calc</t>
        </is>
      </c>
      <c r="D18" s="10">
        <f>IF(AND(D17&gt;0,D15&gt;0),(D15/D17)*((D17+Inputs!D64)/(D15+Inputs!D64)),1)</f>
        <v/>
      </c>
      <c r="E18" s="4" t="inlineStr">
        <is>
          <t>-</t>
        </is>
      </c>
      <c r="F18" s="4" t="inlineStr">
        <is>
          <t>🔵 derived</t>
        </is>
      </c>
    </row>
    <row r="19"/>
    <row r="20">
      <c r="A20" s="5" t="inlineStr">
        <is>
          <t>5. Серверы по памяти</t>
        </is>
      </c>
      <c r="B20" s="6" t="n"/>
      <c r="C20" s="6" t="n"/>
      <c r="D20" s="6" t="n"/>
      <c r="E20" s="6" t="n"/>
      <c r="F20" s="7" t="n"/>
    </row>
    <row r="21">
      <c r="A21" s="8" t="inlineStr">
        <is>
          <t>Сессий на сервер (S_server)</t>
        </is>
      </c>
      <c r="B21" s="4" t="inlineStr">
        <is>
          <t>N_TP=Z · S_TP=Z</t>
        </is>
      </c>
      <c r="C21" s="4" t="inlineStr">
        <is>
          <t>calc</t>
        </is>
      </c>
      <c r="D21" s="12">
        <f>D12*D15</f>
        <v/>
      </c>
      <c r="E21" s="4" t="inlineStr">
        <is>
          <t>sess.</t>
        </is>
      </c>
      <c r="F21" s="4" t="inlineStr">
        <is>
          <t>🟡 vLLM logs</t>
        </is>
      </c>
    </row>
    <row r="22">
      <c r="A22" s="8" t="inlineStr">
        <is>
          <t>Число серверов по памяти (Servers_count^mem)</t>
        </is>
      </c>
      <c r="B22" s="4" t="inlineStr">
        <is>
          <t>⌈S_sim / S_server⌉</t>
        </is>
      </c>
      <c r="C22" s="4" t="inlineStr">
        <is>
          <t>calc</t>
        </is>
      </c>
      <c r="D22" s="17">
        <f>IF(D21&gt;0,CEILING(Inputs!D12/D21,1),0)</f>
        <v/>
      </c>
      <c r="E22" s="4" t="inlineStr">
        <is>
          <t>pcs</t>
        </is>
      </c>
      <c r="F22" s="4" t="inlineStr">
        <is>
          <t>🟢 deployment</t>
        </is>
      </c>
    </row>
    <row r="23"/>
    <row r="24">
      <c r="A24" s="5" t="inlineStr">
        <is>
          <t>6. Пропускная способность и compute-сайзинг</t>
        </is>
      </c>
      <c r="B24" s="6" t="n"/>
      <c r="C24" s="6" t="n"/>
      <c r="D24" s="6" t="n"/>
      <c r="E24" s="6" t="n"/>
      <c r="F24" s="7" t="n"/>
    </row>
    <row r="25">
      <c r="A25" s="8" t="inlineStr">
        <is>
          <t>FLOP на токен (FPS)</t>
        </is>
      </c>
      <c r="B25" s="4" t="inlineStr">
        <is>
          <t>2 · P_active · 10⁹</t>
        </is>
      </c>
      <c r="C25" s="4" t="inlineStr">
        <is>
          <t>calc</t>
        </is>
      </c>
      <c r="D25" s="12">
        <f>2*Inputs!D37*10^9</f>
        <v/>
      </c>
      <c r="E25" s="4" t="inlineStr">
        <is>
          <t>FLOP/tok</t>
        </is>
      </c>
      <c r="F25" s="4" t="inlineStr">
        <is>
          <t>🔵 derived</t>
        </is>
      </c>
    </row>
    <row r="26">
      <c r="A26" s="8" t="inlineStr">
        <is>
          <t>Пиковая производительность экземпляра (F_count)</t>
        </is>
      </c>
      <c r="B26" s="4" t="inlineStr">
        <is>
          <t>GPU_per_inst · FLOPS_gpu · 10¹² (в FLOPs/sec)</t>
        </is>
      </c>
      <c r="C26" s="4" t="inlineStr">
        <is>
          <t>calc</t>
        </is>
      </c>
      <c r="D26" s="24">
        <f>D11*Inputs!D27*10^12</f>
        <v/>
      </c>
      <c r="E26" s="4" t="inlineStr">
        <is>
          <t>FLOP/s</t>
        </is>
      </c>
      <c r="F26" s="4" t="inlineStr">
        <is>
          <t>🔵 spec lookup</t>
        </is>
      </c>
    </row>
    <row r="27">
      <c r="A27" s="8" t="inlineStr">
        <is>
          <t>SL_pf эффективная (после префикс-кэша)</t>
        </is>
      </c>
      <c r="B27" s="4" t="inlineStr">
        <is>
          <t>SL_pf · (1 − η_cache); при η_cache=0 совпадает с SL_pf</t>
        </is>
      </c>
      <c r="C27" s="4" t="inlineStr">
        <is>
          <t>calc</t>
        </is>
      </c>
      <c r="D27" s="12">
        <f>Inputs!D21*(1-Inputs!D67)</f>
        <v/>
      </c>
      <c r="E27" s="4" t="inlineStr">
        <is>
          <t>tokens</t>
        </is>
      </c>
      <c r="F27" s="4" t="inlineStr">
        <is>
          <t>🔵 methodology</t>
        </is>
      </c>
    </row>
    <row r="28">
      <c r="A28" s="8" t="inlineStr">
        <is>
          <t>BS_real итоговый (при S*)</t>
        </is>
      </c>
      <c r="B28" s="4" t="inlineStr">
        <is>
          <t>BS_real на сошедшемся состоянии §6.4 (лист Iterations)</t>
        </is>
      </c>
      <c r="C28" s="4" t="inlineStr">
        <is>
          <t>calc</t>
        </is>
      </c>
      <c r="D28" s="12">
        <f>Iterations!C33</f>
        <v/>
      </c>
      <c r="E28" s="4" t="inlineStr">
        <is>
          <t>sess.</t>
        </is>
      </c>
      <c r="F28" s="4" t="inlineStr">
        <is>
          <t>🟡 vLLM logs</t>
        </is>
      </c>
    </row>
    <row r="29">
      <c r="A29" s="8" t="inlineStr">
        <is>
          <t>Th_pf аналитическая (static batching)</t>
        </is>
      </c>
      <c r="B29" s="4" t="inlineStr">
        <is>
          <t>F_count · η_pf · K_batch / (FPS + 4·L·d_attn^pf·SL_pf). Только для static.</t>
        </is>
      </c>
      <c r="C29" s="4" t="inlineStr">
        <is>
          <t>calc</t>
        </is>
      </c>
      <c r="D29" s="12">
        <f>D26*Inputs!D61*D18/(D25+4*Inputs!D38*Inputs!D90*Inputs!D21)</f>
        <v/>
      </c>
      <c r="E29" s="4" t="inlineStr">
        <is>
          <t>tok/s</t>
        </is>
      </c>
      <c r="F29" s="4" t="inlineStr">
        <is>
          <t>🟢 EvalScope</t>
        </is>
      </c>
    </row>
    <row r="30">
      <c r="A30" s="8" t="inlineStr">
        <is>
          <t>Th_pf^cb,compute (continuous, compute-bound)</t>
        </is>
      </c>
      <c r="B30" s="4" t="inlineStr">
        <is>
          <t>F_count · η_pf / (FPS + 4·L·d_attn^pf·SL_pf); attention по полному SL_pf (§6.1)</t>
        </is>
      </c>
      <c r="C30" s="4" t="inlineStr">
        <is>
          <t>calc</t>
        </is>
      </c>
      <c r="D30" s="12">
        <f>D26*Inputs!D61/(D25+4*Inputs!D38*Inputs!D90*Inputs!D21)</f>
        <v/>
      </c>
      <c r="E30" s="4" t="inlineStr">
        <is>
          <t>tok/s</t>
        </is>
      </c>
      <c r="F30" s="4" t="inlineStr">
        <is>
          <t>🟢 EvalScope</t>
        </is>
      </c>
    </row>
    <row r="31">
      <c r="A31" s="8" t="inlineStr">
        <is>
          <t>Th_pf^cb,mem (continuous, memory-bound)</t>
        </is>
      </c>
      <c r="B31" s="4" t="inlineStr">
        <is>
          <t>C_pf·BW·10⁹·η_mem / (P_eff(BS+1)·10⁹·B_quant + BS·M_KV·1024³ + O_fixed·1024³)</t>
        </is>
      </c>
      <c r="C31" s="4" t="inlineStr">
        <is>
          <t>calc</t>
        </is>
      </c>
      <c r="D31" s="12">
        <f>Iterations!F33</f>
        <v/>
      </c>
      <c r="E31" s="4" t="inlineStr">
        <is>
          <t>tok/s</t>
        </is>
      </c>
      <c r="F31" s="4" t="inlineStr">
        <is>
          <t>🟢 EvalScope</t>
        </is>
      </c>
    </row>
    <row r="32">
      <c r="A32" s="8" t="inlineStr">
        <is>
          <t>Th_pf^cb (continuous batching итог)</t>
        </is>
      </c>
      <c r="B32" s="4" t="inlineStr">
        <is>
          <t>min(compute, mem) при BS_real итоговом</t>
        </is>
      </c>
      <c r="C32" s="4" t="inlineStr">
        <is>
          <t>calc</t>
        </is>
      </c>
      <c r="D32" s="12">
        <f>IF(AND(D30&lt;=0,D31&lt;=0),0,IF(D31&lt;=0,D30,IF(D30&lt;=0,D31,MIN(D30,D31))))</f>
        <v/>
      </c>
      <c r="E32" s="4" t="inlineStr">
        <is>
          <t>tok/s</t>
        </is>
      </c>
      <c r="F32" s="4" t="inlineStr">
        <is>
          <t>🟢 EvalScope</t>
        </is>
      </c>
    </row>
    <row r="33">
      <c r="A33" s="8" t="inlineStr">
        <is>
          <t>Th_pf выбранное (эмпир. / continuous / static)</t>
        </is>
      </c>
      <c r="B33" s="4" t="inlineStr">
        <is>
          <t>Th_pf_emp &gt; 0 → эмпирический; иначе engine_mode=continuous → Th_pf^cb, engine_mode=static → Th_pf_analyt</t>
        </is>
      </c>
      <c r="C33" s="4" t="inlineStr">
        <is>
          <t>calc</t>
        </is>
      </c>
      <c r="D33" s="12">
        <f>Iterations!G33</f>
        <v/>
      </c>
      <c r="E33" s="4" t="inlineStr">
        <is>
          <t>tok/s</t>
        </is>
      </c>
      <c r="F33" s="4" t="inlineStr">
        <is>
          <t>🟢 EvalScope</t>
        </is>
      </c>
    </row>
    <row r="34">
      <c r="A34" s="8" t="inlineStr">
        <is>
          <t>Th_pf / roofline (санити-чек по FLOPS)</t>
        </is>
      </c>
      <c r="B34" s="4" t="inlineStr">
        <is>
          <t>&lt;1.0: под потолком; 1.0-1.5: разумно; &gt;1.5: K_batch завышает Th_pf</t>
        </is>
      </c>
      <c r="C34" s="4" t="inlineStr">
        <is>
          <t>calc</t>
        </is>
      </c>
      <c r="D34" s="10">
        <f>IF(D26&gt;0,D33*(D25+4*Inputs!D38*Inputs!D90*Inputs!D21)/(D26*Inputs!D61),0)</f>
        <v/>
      </c>
      <c r="E34" s="4" t="inlineStr">
        <is>
          <t>×</t>
        </is>
      </c>
      <c r="F34" s="4" t="inlineStr">
        <is>
          <t>🔵 derived</t>
        </is>
      </c>
    </row>
    <row r="35">
      <c r="A35" s="8" t="inlineStr">
        <is>
          <t>Th_dec^compute (per-session)</t>
        </is>
      </c>
      <c r="B35" s="4" t="inlineStr">
        <is>
          <t>F_count · η_dec / (FPS + 4·L·d_attn^dec·(SL_pf + (T_dec−1)/2)) / BS_real; без K_batch</t>
        </is>
      </c>
      <c r="C35" s="4" t="inlineStr">
        <is>
          <t>calc</t>
        </is>
      </c>
      <c r="D35" s="12">
        <f>Iterations!H33</f>
        <v/>
      </c>
      <c r="E35" s="4" t="inlineStr">
        <is>
          <t>tok/s/sess.</t>
        </is>
      </c>
      <c r="F35" s="4" t="inlineStr">
        <is>
          <t>🔵 derived</t>
        </is>
      </c>
    </row>
    <row r="36">
      <c r="A36" s="8" t="inlineStr">
        <is>
          <t>Th_dec^mem (per-session, memory-bound)</t>
        </is>
      </c>
      <c r="B36" s="4" t="inlineStr">
        <is>
          <t>BW_GPU·10⁹·η_mem / (P_eff(BS)·10⁹·B_quant + BS_real·M_KV·1024³ + O_fixed·1024³)</t>
        </is>
      </c>
      <c r="C36" s="4" t="inlineStr">
        <is>
          <t>calc</t>
        </is>
      </c>
      <c r="D36" s="12">
        <f>Iterations!I33</f>
        <v/>
      </c>
      <c r="E36" s="4" t="inlineStr">
        <is>
          <t>tok/s/sess.</t>
        </is>
      </c>
      <c r="F36" s="4" t="inlineStr">
        <is>
          <t>🟢 EvalScope</t>
        </is>
      </c>
    </row>
    <row r="37">
      <c r="A37" s="8" t="inlineStr">
        <is>
          <t>Th_dec аналитическая = min(compute, mem)</t>
        </is>
      </c>
      <c r="B37" s="4" t="inlineStr">
        <is>
          <t>Узкое место — минимум из двух пределов</t>
        </is>
      </c>
      <c r="C37" s="4" t="inlineStr">
        <is>
          <t>calc</t>
        </is>
      </c>
      <c r="D37" s="12">
        <f>IF(AND(D35&lt;=0,D36&lt;=0),0,IF(D36&lt;=0,D35,IF(D35&lt;=0,D36,MIN(D35,D36))))</f>
        <v/>
      </c>
      <c r="E37" s="4" t="inlineStr">
        <is>
          <t>tok/s/sess.</t>
        </is>
      </c>
      <c r="F37" s="4" t="inlineStr">
        <is>
          <t>🟢 EvalScope</t>
        </is>
      </c>
    </row>
    <row r="38">
      <c r="A38" s="8" t="inlineStr">
        <is>
          <t>Th_dec выбранное (эмпир. или аналит., с K_spec)</t>
        </is>
      </c>
      <c r="B38" s="4" t="inlineStr">
        <is>
          <t>Если Th_dec_emp &gt; 0 — использовать его; иначе min(compute, mem). Далее: Th_dec · K_spec (спекулятивное декодирование, §3.1 H-5).</t>
        </is>
      </c>
      <c r="C38" s="4" t="inlineStr">
        <is>
          <t>calc</t>
        </is>
      </c>
      <c r="D38" s="12">
        <f>Iterations!J33</f>
        <v/>
      </c>
      <c r="E38" s="4" t="inlineStr">
        <is>
          <t>tok/s/sess.</t>
        </is>
      </c>
      <c r="F38" s="4" t="inlineStr">
        <is>
          <t>🟢 EvalScope</t>
        </is>
      </c>
    </row>
    <row r="39">
      <c r="A39" s="8" t="inlineStr">
        <is>
          <t>C^model(BS_real): запросов/с на экземпляр</t>
        </is>
      </c>
      <c r="B39" s="4" t="inlineStr">
        <is>
          <t>BS_real / (SL_pf^eff/Th_pf(BS) + T_dec/Th_dec(BS)) при BS_real итоговом</t>
        </is>
      </c>
      <c r="C39" s="4" t="inlineStr">
        <is>
          <t>calc</t>
        </is>
      </c>
      <c r="D39" s="30">
        <f>Iterations!K33</f>
        <v/>
      </c>
      <c r="E39" s="4" t="inlineStr">
        <is>
          <t>req/s</t>
        </is>
      </c>
      <c r="F39" s="4" t="inlineStr">
        <is>
          <t>🟢 EvalScope</t>
        </is>
      </c>
    </row>
    <row r="40">
      <c r="A40" s="8" t="inlineStr">
        <is>
          <t>Th_server_comp (req/s на сервер)</t>
        </is>
      </c>
      <c r="B40" s="4" t="inlineStr">
        <is>
          <t>N_TP=Z · C^model</t>
        </is>
      </c>
      <c r="C40" s="4" t="inlineStr">
        <is>
          <t>calc</t>
        </is>
      </c>
      <c r="D40" s="30">
        <f>Iterations!L33</f>
        <v/>
      </c>
      <c r="E40" s="4" t="inlineStr">
        <is>
          <t>req/s</t>
        </is>
      </c>
      <c r="F40" s="4" t="inlineStr">
        <is>
          <t>🟢 EvalScope</t>
        </is>
      </c>
    </row>
    <row r="41">
      <c r="A41" s="8" t="inlineStr">
        <is>
          <t>Серверов по compute (Servers_count^comp)</t>
        </is>
      </c>
      <c r="B41" s="4" t="inlineStr">
        <is>
          <t>⌈S_sim · R_eff · K_SLA / Th_server_comp⌉ при S*; R_eff = R · K_calls</t>
        </is>
      </c>
      <c r="C41" s="4" t="inlineStr">
        <is>
          <t>calc</t>
        </is>
      </c>
      <c r="D41" s="17">
        <f>Iterations!M33</f>
        <v/>
      </c>
      <c r="E41" s="4" t="inlineStr">
        <is>
          <t>pcs</t>
        </is>
      </c>
      <c r="F41" s="4" t="inlineStr">
        <is>
          <t>🟢 deployment</t>
        </is>
      </c>
    </row>
    <row r="42">
      <c r="A42" s="5" t="inlineStr">
        <is>
          <t>§6.4 Итеративная резолюция BS_real ↔ Servers (полная таблица — лист Iterations)</t>
        </is>
      </c>
      <c r="B42" s="6" t="n"/>
      <c r="C42" s="6" t="n"/>
      <c r="D42" s="6" t="n"/>
      <c r="E42" s="6" t="n"/>
      <c r="F42" s="7" t="n"/>
    </row>
    <row r="43">
      <c r="A43" s="8" t="inlineStr">
        <is>
          <t>Servers^(0)</t>
        </is>
      </c>
      <c r="B43" s="4" t="inlineStr">
        <is>
          <t>Iterations: состояние k = 0</t>
        </is>
      </c>
      <c r="C43" s="4" t="inlineStr">
        <is>
          <t>calc</t>
        </is>
      </c>
      <c r="D43" s="12">
        <f>Iterations!B6</f>
        <v/>
      </c>
      <c r="E43" s="4" t="inlineStr">
        <is>
          <t>pcs</t>
        </is>
      </c>
      <c r="F43" s="4" t="inlineStr">
        <is>
          <t>🔵 derived</t>
        </is>
      </c>
    </row>
    <row r="44">
      <c r="A44" s="8" t="inlineStr">
        <is>
          <t>Servers^(1)</t>
        </is>
      </c>
      <c r="B44" s="4" t="inlineStr">
        <is>
          <t>Iterations: состояние k = 1</t>
        </is>
      </c>
      <c r="C44" s="4" t="inlineStr">
        <is>
          <t>calc</t>
        </is>
      </c>
      <c r="D44" s="12">
        <f>Iterations!B7</f>
        <v/>
      </c>
      <c r="E44" s="4" t="inlineStr">
        <is>
          <t>pcs</t>
        </is>
      </c>
      <c r="F44" s="4" t="inlineStr">
        <is>
          <t>🔵 derived</t>
        </is>
      </c>
    </row>
    <row r="45">
      <c r="A45" s="8" t="inlineStr">
        <is>
          <t>Servers^(2)</t>
        </is>
      </c>
      <c r="B45" s="4" t="inlineStr">
        <is>
          <t>Iterations: состояние k = 2</t>
        </is>
      </c>
      <c r="C45" s="4" t="inlineStr">
        <is>
          <t>calc</t>
        </is>
      </c>
      <c r="D45" s="12">
        <f>Iterations!B8</f>
        <v/>
      </c>
      <c r="E45" s="4" t="inlineStr">
        <is>
          <t>pcs</t>
        </is>
      </c>
      <c r="F45" s="4" t="inlineStr">
        <is>
          <t>🔵 derived</t>
        </is>
      </c>
    </row>
    <row r="46">
      <c r="A46" s="8" t="inlineStr">
        <is>
          <t>Servers^(3)</t>
        </is>
      </c>
      <c r="B46" s="4" t="inlineStr">
        <is>
          <t>Iterations: состояние k = 3</t>
        </is>
      </c>
      <c r="C46" s="4" t="inlineStr">
        <is>
          <t>calc</t>
        </is>
      </c>
      <c r="D46" s="12">
        <f>Iterations!B9</f>
        <v/>
      </c>
      <c r="E46" s="4" t="inlineStr">
        <is>
          <t>pcs</t>
        </is>
      </c>
      <c r="F46" s="4" t="inlineStr">
        <is>
          <t>🔵 derived</t>
        </is>
      </c>
    </row>
    <row r="47">
      <c r="A47" s="8" t="inlineStr">
        <is>
          <t>Servers^(4)</t>
        </is>
      </c>
      <c r="B47" s="4" t="inlineStr">
        <is>
          <t>Iterations: состояние k = 4</t>
        </is>
      </c>
      <c r="C47" s="4" t="inlineStr">
        <is>
          <t>calc</t>
        </is>
      </c>
      <c r="D47" s="12">
        <f>Iterations!B10</f>
        <v/>
      </c>
      <c r="E47" s="4" t="inlineStr">
        <is>
          <t>pcs</t>
        </is>
      </c>
      <c r="F47" s="4" t="inlineStr">
        <is>
          <t>🔵 derived</t>
        </is>
      </c>
    </row>
    <row r="48">
      <c r="A48" s="8" t="inlineStr">
        <is>
          <t>Servers^(5)</t>
        </is>
      </c>
      <c r="B48" s="4" t="inlineStr">
        <is>
          <t>Iterations: состояние k = 5</t>
        </is>
      </c>
      <c r="C48" s="4" t="inlineStr">
        <is>
          <t>calc</t>
        </is>
      </c>
      <c r="D48" s="12">
        <f>Iterations!B11</f>
        <v/>
      </c>
      <c r="E48" s="4" t="inlineStr">
        <is>
          <t>pcs</t>
        </is>
      </c>
      <c r="F48" s="4" t="inlineStr">
        <is>
          <t>🔵 derived</t>
        </is>
      </c>
    </row>
    <row r="49">
      <c r="A49" s="8" t="inlineStr">
        <is>
          <t>Servers^(6)</t>
        </is>
      </c>
      <c r="B49" s="4" t="inlineStr">
        <is>
          <t>Iterations: состояние k = 6</t>
        </is>
      </c>
      <c r="C49" s="4" t="inlineStr">
        <is>
          <t>calc</t>
        </is>
      </c>
      <c r="D49" s="12">
        <f>Iterations!B12</f>
        <v/>
      </c>
      <c r="E49" s="4" t="inlineStr">
        <is>
          <t>pcs</t>
        </is>
      </c>
      <c r="F49" s="4" t="inlineStr">
        <is>
          <t>🔵 derived</t>
        </is>
      </c>
    </row>
    <row r="50">
      <c r="A50" s="8" t="inlineStr">
        <is>
          <t>Servers^(7)</t>
        </is>
      </c>
      <c r="B50" s="4" t="inlineStr">
        <is>
          <t>Iterations: состояние k = 7</t>
        </is>
      </c>
      <c r="C50" s="4" t="inlineStr">
        <is>
          <t>calc</t>
        </is>
      </c>
      <c r="D50" s="12">
        <f>Iterations!B13</f>
        <v/>
      </c>
      <c r="E50" s="4" t="inlineStr">
        <is>
          <t>pcs</t>
        </is>
      </c>
      <c r="F50" s="4" t="inlineStr">
        <is>
          <t>🔵 derived</t>
        </is>
      </c>
    </row>
    <row r="51">
      <c r="A51" s="8" t="inlineStr">
        <is>
          <t>Servers^(8)</t>
        </is>
      </c>
      <c r="B51" s="4" t="inlineStr">
        <is>
          <t>Iterations: состояние k = 8</t>
        </is>
      </c>
      <c r="C51" s="4" t="inlineStr">
        <is>
          <t>calc</t>
        </is>
      </c>
      <c r="D51" s="12">
        <f>Iterations!B14</f>
        <v/>
      </c>
      <c r="E51" s="4" t="inlineStr">
        <is>
          <t>pcs</t>
        </is>
      </c>
      <c r="F51" s="4" t="inlineStr">
        <is>
          <t>🔵 derived</t>
        </is>
      </c>
    </row>
    <row r="52">
      <c r="A52" s="8" t="inlineStr">
        <is>
          <t>Servers^(9)</t>
        </is>
      </c>
      <c r="B52" s="4" t="inlineStr">
        <is>
          <t>Iterations: состояние k = 9</t>
        </is>
      </c>
      <c r="C52" s="4" t="inlineStr">
        <is>
          <t>calc</t>
        </is>
      </c>
      <c r="D52" s="17">
        <f>Iterations!B15</f>
        <v/>
      </c>
      <c r="E52" s="4" t="inlineStr">
        <is>
          <t>pcs</t>
        </is>
      </c>
      <c r="F52" s="4" t="inlineStr">
        <is>
          <t>🔵 derived</t>
        </is>
      </c>
    </row>
    <row r="53">
      <c r="A53" s="8" t="inlineStr">
        <is>
          <t>Servers_comp (на S*; при отсутствии сходимости = S*)</t>
        </is>
      </c>
      <c r="B53" s="4" t="inlineStr">
        <is>
          <t>Servers^comp(S*) при converged, иначе S* (§6.4 шаг 4)</t>
        </is>
      </c>
      <c r="C53" s="4" t="inlineStr">
        <is>
          <t>calc</t>
        </is>
      </c>
      <c r="D53" s="17">
        <f>IF(Iterations!B28="converged",Iterations!M33,Iterations!B33)</f>
        <v/>
      </c>
      <c r="E53" s="4" t="inlineStr">
        <is>
          <t>pcs</t>
        </is>
      </c>
      <c r="F53" s="4" t="inlineStr">
        <is>
          <t>🔵 derived</t>
        </is>
      </c>
    </row>
    <row r="54" ht="42" customHeight="1">
      <c r="A54" s="8" t="inlineStr">
        <is>
          <t>Статус сходимости §6.4</t>
        </is>
      </c>
      <c r="B54" s="4" t="inlineStr">
        <is>
          <t>converged / oscillating / not_converged — шаги 3–4 §6.4</t>
        </is>
      </c>
      <c r="C54" s="4" t="inlineStr">
        <is>
          <t>calc</t>
        </is>
      </c>
      <c r="D54" s="9">
        <f>IF(Iterations!B28="converged","✓ OK: converged за "&amp;Iterations!B29&amp;" итер.",IF(Iterations!B28="oscillating","⚠ oscillating: взят больший из двух последних","⚠ not_converged: проверьте Servers_override"))</f>
        <v/>
      </c>
      <c r="E54" s="4" t="inlineStr">
        <is>
          <t>status</t>
        </is>
      </c>
      <c r="F54" s="4" t="inlineStr">
        <is>
          <t>🔵 derived</t>
        </is>
      </c>
    </row>
    <row r="55">
      <c r="A55" s="8" t="inlineStr">
        <is>
          <t>BS_real (сошедшийся)</t>
        </is>
      </c>
      <c r="B55" s="4" t="inlineStr">
        <is>
          <t>BS при итоговом Servers^(10)</t>
        </is>
      </c>
      <c r="C55" s="4" t="inlineStr">
        <is>
          <t>calc</t>
        </is>
      </c>
      <c r="D55" s="17">
        <f>Iterations!C33</f>
        <v/>
      </c>
      <c r="E55" s="4" t="inlineStr">
        <is>
          <t>sess.</t>
        </is>
      </c>
      <c r="F55" s="4" t="inlineStr">
        <is>
          <t>🟡 vLLM logs</t>
        </is>
      </c>
    </row>
    <row r="56">
      <c r="A56" s="8" t="inlineStr">
        <is>
          <t>Th_server^ceil (потолок decode-dominated)</t>
        </is>
      </c>
      <c r="B56" s="4" t="inlineStr">
        <is>
          <t>N_TP=Z · BW·10⁹·η_mem / (T_dec·M_KV·1024³) — справочно; применим только в decode-dominated режиме (§6.4)</t>
        </is>
      </c>
      <c r="C56" s="4" t="inlineStr">
        <is>
          <t>calc</t>
        </is>
      </c>
      <c r="D56" s="30">
        <f>IF(AND(Inputs!D22&gt;0,D7&gt;0),D12*Inputs!D28*10^9*Inputs!D63/(Inputs!D22*D7*1024^3),0)</f>
        <v/>
      </c>
      <c r="E56" s="4" t="inlineStr">
        <is>
          <t>req/s</t>
        </is>
      </c>
      <c r="F56" s="4" t="inlineStr">
        <is>
          <t>🔵 derived</t>
        </is>
      </c>
    </row>
    <row r="57">
      <c r="A57" s="8" t="inlineStr">
        <is>
          <t>ρ_pf (загрузка prefill, диагностика §6.2)</t>
        </is>
      </c>
      <c r="B57" s="4" t="inlineStr">
        <is>
          <t>C^model · SL_pf^eff / Th_pf — среднее число запросов в prefill; &gt; 1 → prefill в очереди, C^model завышен (проверить нагрузочным тестом / PD)</t>
        </is>
      </c>
      <c r="C57" s="4" t="inlineStr">
        <is>
          <t>calc</t>
        </is>
      </c>
      <c r="D57" s="30">
        <f>IF(D33&gt;0,D39*D27/D33,0)</f>
        <v/>
      </c>
      <c r="E57" s="4" t="inlineStr">
        <is>
          <t>-</t>
        </is>
      </c>
    </row>
    <row r="58">
      <c r="A58" s="5" t="inlineStr">
        <is>
          <t>7. Проверка TTFT и e2eLatency</t>
        </is>
      </c>
      <c r="B58" s="6" t="n"/>
      <c r="C58" s="6" t="n"/>
      <c r="D58" s="6" t="n"/>
      <c r="E58" s="6" t="n"/>
      <c r="F58" s="7" t="n"/>
    </row>
    <row r="59">
      <c r="A59" s="8" t="inlineStr">
        <is>
          <t>TTFT при BS_real итоговом</t>
        </is>
      </c>
      <c r="B59" s="4" t="inlineStr">
        <is>
          <t>SL_pf^eff / Th_pf(BS) + 1/Th_dec(BS) + T_overhead (§7.1)</t>
        </is>
      </c>
      <c r="C59" s="4" t="inlineStr">
        <is>
          <t>calc</t>
        </is>
      </c>
      <c r="D59" s="31">
        <f>IF(AND(D33&gt;0,D38&gt;0),D27/D33+1/D38+Inputs!D71,0)</f>
        <v/>
      </c>
      <c r="E59" s="4" t="inlineStr">
        <is>
          <t>s</t>
        </is>
      </c>
      <c r="F59" s="4" t="inlineStr">
        <is>
          <t>🟢 EvalScope</t>
        </is>
      </c>
    </row>
    <row r="60">
      <c r="A60" s="8" t="inlineStr">
        <is>
          <t>GenerationTime при BS_real итоговом</t>
        </is>
      </c>
      <c r="B60" s="4" t="inlineStr">
        <is>
          <t>T_dec / Th_dec(BS_real)</t>
        </is>
      </c>
      <c r="C60" s="4" t="inlineStr">
        <is>
          <t>calc</t>
        </is>
      </c>
      <c r="D60" s="31">
        <f>IF(D38&gt;0,Inputs!D22/D38,0)</f>
        <v/>
      </c>
      <c r="E60" s="4" t="inlineStr">
        <is>
          <t>s</t>
        </is>
      </c>
      <c r="F60" s="4" t="inlineStr">
        <is>
          <t>🟢 EvalScope</t>
        </is>
      </c>
    </row>
    <row r="61">
      <c r="A61" s="8" t="inlineStr">
        <is>
          <t>e2eLatency_analyt (BS = 1, ненагруженная)</t>
        </is>
      </c>
      <c r="B61" s="4" t="inlineStr">
        <is>
          <t>TTFT(1) + T_dec/Th_dec(1) — справочно (§7.2)</t>
        </is>
      </c>
      <c r="C61" s="4" t="inlineStr">
        <is>
          <t>calc</t>
        </is>
      </c>
      <c r="D61" s="31">
        <f>IF(Iterations!J34&gt;0,D65+Inputs!D22/Iterations!J34,0)</f>
        <v/>
      </c>
      <c r="E61" s="4" t="inlineStr">
        <is>
          <t>s</t>
        </is>
      </c>
      <c r="F61" s="4" t="inlineStr">
        <is>
          <t>🟢 EvalScope</t>
        </is>
      </c>
    </row>
    <row r="62">
      <c r="A62" s="8" t="inlineStr">
        <is>
          <t>e2eLatency_load (под нагрузкой, закон Литтла)</t>
        </is>
      </c>
      <c r="B62" s="4" t="inlineStr">
        <is>
          <t>max(e2e_analyt, BS_real / C^model(BS)) — используется для SLA (§7.3)</t>
        </is>
      </c>
      <c r="C62" s="4" t="inlineStr">
        <is>
          <t>calc</t>
        </is>
      </c>
      <c r="D62" s="31">
        <f>IF(D39&gt;0,MAX(D61,D28/D39),D61)</f>
        <v/>
      </c>
      <c r="E62" s="4" t="inlineStr">
        <is>
          <t>s</t>
        </is>
      </c>
      <c r="F62" s="4" t="inlineStr">
        <is>
          <t>🟢 EvalScope</t>
        </is>
      </c>
    </row>
    <row r="63" ht="42" customHeight="1">
      <c r="A63" s="8" t="inlineStr">
        <is>
          <t>Проверка TTFT_SLA</t>
        </is>
      </c>
      <c r="B63" s="4" t="inlineStr">
        <is>
          <t>TTFT_SLA ≥ TTFT(BS итоговый); n/a без цели</t>
        </is>
      </c>
      <c r="C63" s="4" t="inlineStr">
        <is>
          <t>calc</t>
        </is>
      </c>
      <c r="D63" s="11">
        <f>IF(Inputs!D77&gt;0,IF(Inputs!D77&gt;=D59,"✓ OK","✗ FAIL"),"n/a")</f>
        <v/>
      </c>
      <c r="E63" s="4" t="inlineStr">
        <is>
          <t>status</t>
        </is>
      </c>
      <c r="F63" s="4" t="inlineStr">
        <is>
          <t>🟢 deployment</t>
        </is>
      </c>
    </row>
    <row r="64" ht="42" customHeight="1">
      <c r="A64" s="8" t="inlineStr">
        <is>
          <t>Проверка e2eLatency_SLA</t>
        </is>
      </c>
      <c r="B64" s="4" t="inlineStr">
        <is>
          <t>e2eLatency_SLA ≥ e2eLatency_load; n/a без цели</t>
        </is>
      </c>
      <c r="C64" s="4" t="inlineStr">
        <is>
          <t>calc</t>
        </is>
      </c>
      <c r="D64" s="11">
        <f>IF(Inputs!D78&gt;0,IF(Inputs!D78&gt;=D62,"✓ OK","✗ FAIL"),"n/a")</f>
        <v/>
      </c>
      <c r="E64" s="4" t="inlineStr">
        <is>
          <t>status</t>
        </is>
      </c>
      <c r="F64" s="4" t="inlineStr">
        <is>
          <t>🟢 deployment</t>
        </is>
      </c>
    </row>
    <row r="65">
      <c r="A65" s="8" t="inlineStr">
        <is>
          <t>TTFT(BS = 1) — справочно</t>
        </is>
      </c>
      <c r="B65" s="4" t="inlineStr">
        <is>
          <t>SL_pf^eff / Th_pf(1) + 1/Th_dec(1) + T_overhead</t>
        </is>
      </c>
      <c r="C65" s="4" t="inlineStr">
        <is>
          <t>calc</t>
        </is>
      </c>
      <c r="D65" s="31">
        <f>IF(AND(Iterations!G34&gt;0,Iterations!J34&gt;0),D27/Iterations!G34+1/Iterations!J34+Inputs!D71,0)</f>
        <v/>
      </c>
      <c r="E65" s="4" t="inlineStr">
        <is>
          <t>s</t>
        </is>
      </c>
    </row>
    <row r="66">
      <c r="A66" s="5" t="inlineStr">
        <is>
          <t>8. Итоговое число серверов</t>
        </is>
      </c>
      <c r="B66" s="6" t="n"/>
      <c r="C66" s="6" t="n"/>
      <c r="D66" s="6" t="n"/>
      <c r="E66" s="6" t="n"/>
      <c r="F66" s="7" t="n"/>
    </row>
    <row r="67">
      <c r="A67" s="8" t="inlineStr">
        <is>
          <t>Серверов по расчёту (S*, §6.4)</t>
        </is>
      </c>
      <c r="B67" s="4" t="inlineStr">
        <is>
          <t>max(Servers_mem, Servers_comp) на сошедшемся состоянии</t>
        </is>
      </c>
      <c r="C67" s="4" t="inlineStr">
        <is>
          <t>calc</t>
        </is>
      </c>
      <c r="D67" s="12">
        <f>Iterations!B33</f>
        <v/>
      </c>
      <c r="E67" s="4" t="inlineStr">
        <is>
          <t>pcs</t>
        </is>
      </c>
      <c r="F67" s="4" t="inlineStr">
        <is>
          <t>🟢 deployment</t>
        </is>
      </c>
    </row>
    <row r="68">
      <c r="A68" s="8" t="inlineStr">
        <is>
          <t>Итоговое число серверов (Servers_final)</t>
        </is>
      </c>
      <c r="B68" s="4" t="inlineStr">
        <is>
          <t>Servers_override (если задан) или auto</t>
        </is>
      </c>
      <c r="C68" s="4" t="inlineStr">
        <is>
          <t>calc</t>
        </is>
      </c>
      <c r="D68" s="17">
        <f>IF(Inputs!D32&gt;0,Inputs!D32,D67)</f>
        <v/>
      </c>
      <c r="E68" s="4" t="inlineStr">
        <is>
          <t>pcs</t>
        </is>
      </c>
      <c r="F68" s="4" t="inlineStr">
        <is>
          <t>🟢 deployment</t>
        </is>
      </c>
    </row>
    <row r="69">
      <c r="A69" s="8" t="inlineStr">
        <is>
          <t>Всего GPU (Servers × GPU/server)</t>
        </is>
      </c>
      <c r="C69" s="4" t="inlineStr">
        <is>
          <t>calc</t>
        </is>
      </c>
      <c r="D69" s="17">
        <f>D68*Inputs!D29</f>
        <v/>
      </c>
      <c r="E69" s="4" t="inlineStr">
        <is>
          <t>pcs</t>
        </is>
      </c>
      <c r="F69" s="4" t="inlineStr">
        <is>
          <t>🟢 deployment</t>
        </is>
      </c>
    </row>
    <row r="70">
      <c r="A70" s="8" t="inlineStr">
        <is>
          <t>BS_real при Servers_final (фактический батч)</t>
        </is>
      </c>
      <c r="B70" s="4" t="inlineStr">
        <is>
          <t>min(S_TP=Z, ⌈S_sim / (N_TP=Z · Servers_final)⌉) — уточнённая оценка</t>
        </is>
      </c>
      <c r="C70" s="4" t="inlineStr">
        <is>
          <t>calc</t>
        </is>
      </c>
      <c r="D70" s="17">
        <f>Iterations!C35</f>
        <v/>
      </c>
      <c r="E70" s="4" t="inlineStr">
        <is>
          <t>sess.</t>
        </is>
      </c>
      <c r="F70" s="4" t="inlineStr">
        <is>
          <t>🟡 vLLM logs</t>
        </is>
      </c>
    </row>
    <row r="71">
      <c r="A71" s="8" t="inlineStr">
        <is>
          <t>Th_dec при Servers_final</t>
        </is>
      </c>
      <c r="B71" s="4" t="inlineStr">
        <is>
          <t>min(compute, mem) · K_spec при BS_real(Servers_final)</t>
        </is>
      </c>
      <c r="C71" s="4" t="inlineStr">
        <is>
          <t>calc</t>
        </is>
      </c>
      <c r="D71" s="17">
        <f>Iterations!J35</f>
        <v/>
      </c>
      <c r="E71" s="4" t="inlineStr">
        <is>
          <t>tok/s/sess.</t>
        </is>
      </c>
      <c r="F71" s="4" t="inlineStr">
        <is>
          <t>🟢 EvalScope</t>
        </is>
      </c>
    </row>
    <row r="72">
      <c r="A72" s="8" t="inlineStr">
        <is>
          <t>e2eLatency_load при Servers_final</t>
        </is>
      </c>
      <c r="B72" s="4" t="inlineStr">
        <is>
          <t>max(e2e_analyt, BS_real / C^model) при Servers_final</t>
        </is>
      </c>
      <c r="C72" s="4" t="inlineStr">
        <is>
          <t>calc</t>
        </is>
      </c>
      <c r="D72" s="32">
        <f>IF(Iterations!K35&gt;0,MAX(D61,D70/Iterations!K35),D61)</f>
        <v/>
      </c>
      <c r="E72" s="4" t="inlineStr">
        <is>
          <t>s</t>
        </is>
      </c>
      <c r="F72" s="4" t="inlineStr">
        <is>
          <t>🟢 EvalScope</t>
        </is>
      </c>
    </row>
    <row r="73" ht="42" customHeight="1">
      <c r="A73" s="8" t="inlineStr">
        <is>
          <t>Финальная проверка SLA</t>
        </is>
      </c>
      <c r="B73" s="4" t="inlineStr">
        <is>
          <t>TTFT и e2e при Servers_final против целей; n/a без целей</t>
        </is>
      </c>
      <c r="C73" s="4" t="inlineStr">
        <is>
          <t>calc</t>
        </is>
      </c>
      <c r="D73" s="9">
        <f>IF(D13&lt;&gt;"✓ OK","✗ FAIL: модель не помещается на сервер",IF(LEFT(Inputs!D92,1)="✗",Inputs!D92,IF(AND(Inputs!D77&lt;=0,Inputs!D78&lt;=0),"n/a: цели SLA не заданы",IF(AND(OR(Inputs!D77&lt;=0,Inputs!D77&gt;=IF(AND(Iterations!G35&gt;0,Iterations!J35&gt;0),D27/Iterations!G35+1/Iterations!J35+Inputs!D71,0)),OR(Inputs!D78&lt;=0,Inputs!D78&gt;=D72)),"✓ OK: конфигурация удовлетворяет SLA","✗ FAIL — см. Приложение Б: Б.1 увеличить Z, Б.2 квантизация (FP8/INT4), Б.3 сократить SL, Б.4 сократить T_dec, Б.5 меньшая модель, Б.6 лучший GPU, Б.7 смягчить SLA"))))</f>
        <v/>
      </c>
      <c r="E73" s="4" t="inlineStr">
        <is>
          <t>status</t>
        </is>
      </c>
      <c r="F73" s="4" t="inlineStr">
        <is>
          <t>🟢 deployment</t>
        </is>
      </c>
    </row>
    <row r="74"/>
    <row r="75">
      <c r="A75" s="5" t="inlineStr">
        <is>
          <t>9. Квоты для шлюза (LiteLLM / shared vLLM)</t>
        </is>
      </c>
      <c r="B75" s="6" t="n"/>
      <c r="C75" s="6" t="n"/>
      <c r="D75" s="6" t="n"/>
      <c r="E75" s="6" t="n"/>
      <c r="F75" s="7" t="n"/>
    </row>
    <row r="76">
      <c r="A76" s="8" t="inlineStr">
        <is>
          <t>Peak RPM (запросов/мин с headroom)</t>
        </is>
      </c>
      <c r="B76" s="4" t="inlineStr">
        <is>
          <t>S_sim · R_eff · K_SLA · 60; R_eff = R · K_calls (§9)</t>
        </is>
      </c>
      <c r="C76" s="4" t="inlineStr">
        <is>
          <t>calc</t>
        </is>
      </c>
      <c r="D76" s="25">
        <f>Inputs!D12*Inputs!D89*Inputs!D76*60</f>
        <v/>
      </c>
      <c r="E76" s="4" t="inlineStr">
        <is>
          <t>req/min</t>
        </is>
      </c>
      <c r="F76" s="4" t="inlineStr">
        <is>
          <t>🔵 derived</t>
        </is>
      </c>
    </row>
    <row r="77">
      <c r="A77" s="8" t="inlineStr">
        <is>
          <t>Sustained RPM (без headroom)</t>
        </is>
      </c>
      <c r="B77" s="4" t="inlineStr">
        <is>
          <t>S_sim · R_eff · 60</t>
        </is>
      </c>
      <c r="C77" s="4" t="inlineStr">
        <is>
          <t>calc</t>
        </is>
      </c>
      <c r="D77" s="25">
        <f>Inputs!D12*Inputs!D89*60</f>
        <v/>
      </c>
      <c r="E77" s="4" t="inlineStr">
        <is>
          <t>req/min</t>
        </is>
      </c>
      <c r="F77" s="4" t="inlineStr">
        <is>
          <t>🔵 derived</t>
        </is>
      </c>
    </row>
    <row r="78">
      <c r="A78" s="8" t="inlineStr">
        <is>
          <t>Peak TPM input</t>
        </is>
      </c>
      <c r="B78" s="4" t="inlineStr">
        <is>
          <t>peak_rpm · SL_pf — input-side tokens/min</t>
        </is>
      </c>
      <c r="C78" s="4" t="inlineStr">
        <is>
          <t>calc</t>
        </is>
      </c>
      <c r="D78" s="25">
        <f>D76*Inputs!D21</f>
        <v/>
      </c>
      <c r="E78" s="4" t="inlineStr">
        <is>
          <t>tok/min</t>
        </is>
      </c>
      <c r="F78" s="4" t="inlineStr">
        <is>
          <t>🔵 derived</t>
        </is>
      </c>
    </row>
    <row r="79">
      <c r="A79" s="8" t="inlineStr">
        <is>
          <t>Peak TPM output</t>
        </is>
      </c>
      <c r="B79" s="4" t="inlineStr">
        <is>
          <t>peak_rpm · T_dec — output-side tokens/min</t>
        </is>
      </c>
      <c r="C79" s="4" t="inlineStr">
        <is>
          <t>calc</t>
        </is>
      </c>
      <c r="D79" s="25">
        <f>D76*Inputs!D22</f>
        <v/>
      </c>
      <c r="E79" s="4" t="inlineStr">
        <is>
          <t>tok/min</t>
        </is>
      </c>
      <c r="F79" s="4" t="inlineStr">
        <is>
          <t>🔵 derived</t>
        </is>
      </c>
    </row>
    <row r="80">
      <c r="A80" s="8" t="inlineStr">
        <is>
          <t>Peak TPM (total)</t>
        </is>
      </c>
      <c r="B80" s="4" t="inlineStr">
        <is>
          <t>peak_tpm_input + peak_tpm_output</t>
        </is>
      </c>
      <c r="C80" s="4" t="inlineStr">
        <is>
          <t>calc</t>
        </is>
      </c>
      <c r="D80" s="25">
        <f>D78+D79</f>
        <v/>
      </c>
      <c r="E80" s="4" t="inlineStr">
        <is>
          <t>tok/min</t>
        </is>
      </c>
      <c r="F80" s="4" t="inlineStr">
        <is>
          <t>🔵 derived</t>
        </is>
      </c>
    </row>
    <row r="81">
      <c r="A81" s="8" t="inlineStr">
        <is>
          <t>Sustained TPM (без headroom)</t>
        </is>
      </c>
      <c r="B81" s="4" t="inlineStr">
        <is>
          <t>peak_tpm / K_SLA</t>
        </is>
      </c>
      <c r="C81" s="4" t="inlineStr">
        <is>
          <t>calc</t>
        </is>
      </c>
      <c r="D81" s="25">
        <f>IF(Inputs!D76&gt;0,D80/Inputs!D76,D80)</f>
        <v/>
      </c>
      <c r="E81" s="4" t="inlineStr">
        <is>
          <t>tok/min</t>
        </is>
      </c>
      <c r="F81" s="4" t="inlineStr">
        <is>
          <t>🔵 derived</t>
        </is>
      </c>
    </row>
    <row r="82">
      <c r="A82" s="8" t="inlineStr">
        <is>
          <t>Max parallel requests</t>
        </is>
      </c>
      <c r="B82" s="4" t="inlineStr">
        <is>
          <t>⌈S_sim · K_SLA⌉ — лимит конкурентных запросов</t>
        </is>
      </c>
      <c r="C82" s="4" t="inlineStr">
        <is>
          <t>calc</t>
        </is>
      </c>
      <c r="D82" s="17">
        <f>CEILING(Inputs!D12*Inputs!D76,1)</f>
        <v/>
      </c>
      <c r="E82" s="4" t="inlineStr">
        <is>
          <t>req</t>
        </is>
      </c>
      <c r="F82" s="4" t="inlineStr">
        <is>
          <t>🔵 derived</t>
        </is>
      </c>
    </row>
    <row r="83"/>
    <row r="84"/>
    <row r="85">
      <c r="A85" s="5" t="inlineStr">
        <is>
          <t>📋 Валидация расчётных значений на реальном оборудовании</t>
        </is>
      </c>
      <c r="B85" s="6" t="n"/>
      <c r="C85" s="6" t="n"/>
      <c r="D85" s="6" t="n"/>
      <c r="E85" s="6" t="n"/>
      <c r="F85" s="7" t="n"/>
    </row>
    <row r="86">
      <c r="A86" s="4" t="inlineStr">
        <is>
          <t>Колонка «F» рядом с каждым значением показывает, КАК проверить число на реальной системе:</t>
        </is>
      </c>
    </row>
    <row r="87">
      <c r="A87" s="4" t="inlineStr">
        <is>
          <t xml:space="preserve">  🟢 EvalScope       — получено из нагрузочного теста (см. инструкции ниже)</t>
        </is>
      </c>
    </row>
    <row r="88">
      <c r="A88" s="4" t="inlineStr">
        <is>
          <t xml:space="preserve">  🟢 deployment      — проверяется при фактическом развёртывании (vLLM/SGLang)</t>
        </is>
      </c>
    </row>
    <row r="89">
      <c r="A89" s="4" t="inlineStr">
        <is>
          <t xml:space="preserve">  🟡 vLLM logs       — видно в логах инференс-движка (--log-stats)</t>
        </is>
      </c>
    </row>
    <row r="90">
      <c r="A90" s="4" t="inlineStr">
        <is>
          <t xml:space="preserve">  🟡 nvidia-smi      — проверяется через nvidia-smi / dcgm</t>
        </is>
      </c>
    </row>
    <row r="91">
      <c r="A91" s="4" t="inlineStr">
        <is>
          <t xml:space="preserve">  ⚪ derived / methodology / spec lookup — производные величины, не проверяются эмпирически</t>
        </is>
      </c>
    </row>
    <row r="92">
      <c r="A92" s="4" t="inlineStr"/>
    </row>
    <row r="93">
      <c r="A93" s="4" t="inlineStr">
        <is>
          <t>🔬 Процедура валидации через EvalScope (Прил. Е методологии):</t>
        </is>
      </c>
    </row>
    <row r="94">
      <c r="A94" s="4" t="inlineStr"/>
    </row>
    <row r="95">
      <c r="A95" s="4" t="inlineStr">
        <is>
          <t>ШАГ 1. Decode-heavy прогон (калибровка η_mem, см. §Е.1.1):</t>
        </is>
      </c>
    </row>
    <row r="96">
      <c r="A96" s="4" t="inlineStr">
        <is>
          <t xml:space="preserve">  evalscope perf --url http://localhost:8000/v1/chat/completions \</t>
        </is>
      </c>
    </row>
    <row r="97">
      <c r="A97" s="4" t="inlineStr">
        <is>
          <t xml:space="preserve">       --parallel 30  --number 30  --min-tokens 1000  --max-tokens 1000 \</t>
        </is>
      </c>
    </row>
    <row r="98">
      <c r="A98" s="4" t="inlineStr">
        <is>
          <t xml:space="preserve">       --min-prompt-length 400  --max-prompt-length 600  --dataset random</t>
        </is>
      </c>
    </row>
    <row r="99">
      <c r="A99" s="4" t="inlineStr">
        <is>
          <t xml:space="preserve">  Снимаемая метрика: Th_dec_observed = Output token throughput (tok/s, серверный агрегат).</t>
        </is>
      </c>
    </row>
    <row r="100">
      <c r="A100" s="4" t="inlineStr">
        <is>
          <t xml:space="preserve">  Сравнить с ячейкой «Th_dec (per-session)» × BS × N_TP=Z. Расхождение &gt;20% → пересчитать η_mem (§Е.2).</t>
        </is>
      </c>
    </row>
    <row r="101">
      <c r="A101" s="4" t="inlineStr"/>
    </row>
    <row r="102">
      <c r="A102" s="4" t="inlineStr">
        <is>
          <t>ШАГ 2. Prefill-heavy прогон (калибровка η_pf, см. §Е.1.2):</t>
        </is>
      </c>
    </row>
    <row r="103">
      <c r="A103" s="4" t="inlineStr">
        <is>
          <t xml:space="preserve">  evalscope perf --url http://localhost:8000/v1/chat/completions \</t>
        </is>
      </c>
    </row>
    <row r="104">
      <c r="A104" s="4" t="inlineStr">
        <is>
          <t xml:space="preserve">       --parallel 30  --number 30  --min-tokens 1  --max-tokens 1 \</t>
        </is>
      </c>
    </row>
    <row r="105">
      <c r="A105" s="4" t="inlineStr">
        <is>
          <t xml:space="preserve">       --min-prompt-length 7000  --max-prompt-length 9000  --dataset random</t>
        </is>
      </c>
    </row>
    <row r="106">
      <c r="A106" s="4" t="inlineStr">
        <is>
          <t xml:space="preserve">  Снимаемая метрика: Th_pf_observed = (Total throughput − Output throughput).</t>
        </is>
      </c>
    </row>
    <row r="107">
      <c r="A107" s="4" t="inlineStr">
        <is>
          <t xml:space="preserve">  Сравнить с ячейкой «Th_pf (per-session)» × BS × N_TP=Z. Расхождение &gt;20% → пересчитать η_pf (§Е.3).</t>
        </is>
      </c>
    </row>
    <row r="108">
      <c r="A108" s="4" t="inlineStr"/>
    </row>
    <row r="109">
      <c r="A109" s="4" t="inlineStr">
        <is>
          <t>ШАГ 3. Проверка по закону Литтла (§Е.4):</t>
        </is>
      </c>
    </row>
    <row r="110">
      <c r="A110" s="4" t="inlineStr">
        <is>
          <t xml:space="preserve">  Должно выполняться: BS ≈ λ · W_mean (где λ — RPS, W_mean — средняя end-to-end задержка).</t>
        </is>
      </c>
    </row>
    <row r="111">
      <c r="A111" s="4" t="inlineStr">
        <is>
          <t xml:space="preserve">  Погрешность &gt;10% указывает на некорректную постановку теста.</t>
        </is>
      </c>
    </row>
    <row r="112">
      <c r="A112" s="4" t="inlineStr"/>
    </row>
    <row r="113">
      <c r="A113" s="4" t="inlineStr">
        <is>
          <t>ШАГ 4. Если η_mem или η_pf отличаются от дефолтов — ввести откалиброванные значения</t>
        </is>
      </c>
    </row>
    <row r="114">
      <c r="A114" s="4" t="inlineStr">
        <is>
          <t xml:space="preserve">  в Inputs!η_mem и Inputs!η_pf, пересчитать Sizing. Затем повторить Шаги 1–2 для валидации.</t>
        </is>
      </c>
    </row>
    <row r="115">
      <c r="A115" s="4" t="inlineStr"/>
    </row>
    <row r="116">
      <c r="A116" s="4" t="inlineStr">
        <is>
          <t>Альтернативы EvalScope (эквивалентная методика, см. Прил. Е.8):</t>
        </is>
      </c>
    </row>
    <row r="117">
      <c r="A117" s="4" t="inlineStr">
        <is>
          <t xml:space="preserve">  • NVIDIA GenAI-Perf (для NIM/TensorRT-LLM эндпоинтов)</t>
        </is>
      </c>
    </row>
    <row r="118">
      <c r="A118" s="4" t="inlineStr">
        <is>
          <t xml:space="preserve">  • vllm_benchmarks/benchmark_serving.py (из репозитория vllm-project/vllm)</t>
        </is>
      </c>
    </row>
    <row r="119">
      <c r="A119" s="4" t="inlineStr">
        <is>
          <t xml:space="preserve">  • sglang/bench_serving.py (из репозитория sgl-project/sglang)</t>
        </is>
      </c>
    </row>
  </sheetData>
  <mergeCells count="44">
    <mergeCell ref="A99:F99"/>
    <mergeCell ref="A90:F90"/>
    <mergeCell ref="A108:F108"/>
    <mergeCell ref="A66:F66"/>
    <mergeCell ref="A118:F118"/>
    <mergeCell ref="A75:F75"/>
    <mergeCell ref="A89:F89"/>
    <mergeCell ref="A105:F105"/>
    <mergeCell ref="A101:F101"/>
    <mergeCell ref="A86:F86"/>
    <mergeCell ref="A104:F104"/>
    <mergeCell ref="A95:F95"/>
    <mergeCell ref="A113:F113"/>
    <mergeCell ref="A85:F85"/>
    <mergeCell ref="A42:F42"/>
    <mergeCell ref="A116:F116"/>
    <mergeCell ref="A106:F106"/>
    <mergeCell ref="A97:F97"/>
    <mergeCell ref="A4:F4"/>
    <mergeCell ref="A100:F100"/>
    <mergeCell ref="A20:F20"/>
    <mergeCell ref="A96:F96"/>
    <mergeCell ref="A91:F91"/>
    <mergeCell ref="A109:F109"/>
    <mergeCell ref="A115:F115"/>
    <mergeCell ref="A112:F112"/>
    <mergeCell ref="A93:F93"/>
    <mergeCell ref="A102:F102"/>
    <mergeCell ref="A117:F117"/>
    <mergeCell ref="A9:F9"/>
    <mergeCell ref="A111:F111"/>
    <mergeCell ref="A58:F58"/>
    <mergeCell ref="A92:F92"/>
    <mergeCell ref="A114:F114"/>
    <mergeCell ref="A24:F24"/>
    <mergeCell ref="A107:F107"/>
    <mergeCell ref="A98:F98"/>
    <mergeCell ref="A1:F1"/>
    <mergeCell ref="A94:F94"/>
    <mergeCell ref="A103:F103"/>
    <mergeCell ref="A110:F110"/>
    <mergeCell ref="A119:F119"/>
    <mergeCell ref="A88:F88"/>
    <mergeCell ref="A87:F87"/>
  </mergeCells>
  <conditionalFormatting sqref="D4:D2000">
    <cfRule type="expression" priority="1" dxfId="0">
      <formula>ISNUMBER(SEARCH("✓",D4))</formula>
    </cfRule>
    <cfRule type="expression" priority="2" dxfId="1">
      <formula>ISNUMBER(SEARCH("✗",D4))</formula>
    </cfRule>
    <cfRule type="expression" priority="3" dxfId="2">
      <formula>ISNUMBER(SEARCH("⚠",D4))</formula>
    </cfRule>
  </conditionalFormatting>
  <printOptions horizontalCentered="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§6.4 Итеративная резолюция BS_real ↔ Servers (шаги 1–4, k_max = 20)</t>
        </is>
      </c>
    </row>
    <row r="2">
      <c r="A2" t="inlineStr">
        <is>
          <t>Каждая строка — одно состояние: Servers^(k) → BS_real → Th_pf(BS), Th_dec(BS) → C^model(BS) → Servers^comp → Servers^(k+1) = max(Servers_mem, Servers^comp). Сходимость — первая строка, где Servers^(k+1) = Servers^(k) (шаг 3 §6.4).</t>
        </is>
      </c>
    </row>
    <row r="4">
      <c r="A4" s="5" t="inlineStr">
        <is>
          <t>Итерации</t>
        </is>
      </c>
    </row>
    <row r="5">
      <c r="A5" s="2" t="inlineStr">
        <is>
          <t>k</t>
        </is>
      </c>
      <c r="B5" s="2" t="inlineStr">
        <is>
          <t>Servers^(k)</t>
        </is>
      </c>
      <c r="C5" s="2" t="inlineStr">
        <is>
          <t>BS_real</t>
        </is>
      </c>
      <c r="D5" s="2" t="inlineStr">
        <is>
          <t>P_eff(BS)</t>
        </is>
      </c>
      <c r="E5" s="2" t="inlineStr">
        <is>
          <t>P_eff(BS+1)</t>
        </is>
      </c>
      <c r="F5" s="2" t="inlineStr">
        <is>
          <t>Th_pf^cb,mem</t>
        </is>
      </c>
      <c r="G5" s="2" t="inlineStr">
        <is>
          <t>Th_pf</t>
        </is>
      </c>
      <c r="H5" s="2" t="inlineStr">
        <is>
          <t>Th_dec^comp/сесс</t>
        </is>
      </c>
      <c r="I5" s="2" t="inlineStr">
        <is>
          <t>Th_dec^mem/сесс</t>
        </is>
      </c>
      <c r="J5" s="2" t="inlineStr">
        <is>
          <t>Th_dec</t>
        </is>
      </c>
      <c r="K5" s="2" t="inlineStr">
        <is>
          <t>C^model</t>
        </is>
      </c>
      <c r="L5" s="2" t="inlineStr">
        <is>
          <t>Th_server</t>
        </is>
      </c>
      <c r="M5" s="2" t="inlineStr">
        <is>
          <t>Servers^comp</t>
        </is>
      </c>
      <c r="N5" s="2" t="inlineStr">
        <is>
          <t>Servers^(k+1)</t>
        </is>
      </c>
      <c r="O5" s="2" t="inlineStr">
        <is>
          <t>Сошлось</t>
        </is>
      </c>
    </row>
    <row r="6">
      <c r="A6" s="8" t="n">
        <v>0</v>
      </c>
      <c r="B6" s="12">
        <f>Sizing!$D$22</f>
        <v/>
      </c>
      <c r="C6" s="12">
        <f>IF(AND(Sizing!$D$12&gt;0,B6&gt;0),MIN(IF(Sizing!$D$15&gt;0,Sizing!$D$15,10^9),MAX(1,CEILING(Inputs!$D$12/(Sizing!$D$12*B6),1))),1)</f>
        <v/>
      </c>
      <c r="D6" s="12">
        <f>IF(Inputs!$D$52,Inputs!$D$48+Inputs!$D$49*(1-POWER(1-Inputs!$D$50/Inputs!$D$51,C6)),Inputs!$D$37)</f>
        <v/>
      </c>
      <c r="E6" s="12">
        <f>IF(Inputs!$D$52,Inputs!$D$48+Inputs!$D$49*(1-POWER(1-Inputs!$D$50/Inputs!$D$51,C6+1)),Inputs!$D$37)</f>
        <v/>
      </c>
      <c r="F6" s="12">
        <f>IF(AND(Inputs!$D$28&gt;0,Inputs!$D$70&gt;0),Inputs!$D$70*Inputs!$D$28*10^9*Inputs!$D$63/(E6*10^9*Inputs!$D$54+C6*Sizing!$D$7*1024^3+Inputs!$D$72*1024^3),0)</f>
        <v/>
      </c>
      <c r="G6" s="12">
        <f>IF(Inputs!$D$65&gt;0,Inputs!$D$65,IF(Inputs!$D$69="continuous",IF(AND(Sizing!$D$30&lt;=0,F6&lt;=0),0,IF(F6&lt;=0,Sizing!$D$30,IF(Sizing!$D$30&lt;=0,F6,MIN(Sizing!$D$30,F6)))),Sizing!$D$29))</f>
        <v/>
      </c>
      <c r="H6" s="12">
        <f>IF(C6&gt;0,Sizing!$D$26*Inputs!$D$62/(Sizing!$D$25+4*Inputs!$D$38*Inputs!$D$91*(Inputs!$D$21+(Inputs!$D$22-1)/2))/C6,0)</f>
        <v/>
      </c>
      <c r="I6" s="12">
        <f>IF(Inputs!$D$28&gt;0,Inputs!$D$28*10^9*Inputs!$D$63/(D6*10^9*Inputs!$D$54+C6*Sizing!$D$7*1024^3+Inputs!$D$72*1024^3),0)</f>
        <v/>
      </c>
      <c r="J6" s="12">
        <f>IF(Inputs!$D$66&gt;0,Inputs!$D$66,IF(AND(H6&lt;=0,I6&lt;=0),0,IF(I6&lt;=0,H6,IF(H6&lt;=0,I6,MIN(H6,I6)))))*Inputs!$D$68</f>
        <v/>
      </c>
      <c r="K6" s="12">
        <f>IF(AND(G6&gt;0,J6&gt;0),C6/(Sizing!$D$27/G6+Inputs!$D$22/J6),0)</f>
        <v/>
      </c>
      <c r="L6" s="12">
        <f>Sizing!$D$12*K6</f>
        <v/>
      </c>
      <c r="M6" s="12">
        <f>IF(L6&gt;0,CEILING(Inputs!$D$12*Inputs!$D$89*Inputs!$D$76/L6,1),0)</f>
        <v/>
      </c>
      <c r="N6" s="12">
        <f>MAX(Sizing!$D$22,M6)</f>
        <v/>
      </c>
      <c r="O6" s="12">
        <f>N6=B6</f>
        <v/>
      </c>
    </row>
    <row r="7">
      <c r="A7" s="8" t="n">
        <v>1</v>
      </c>
      <c r="B7" s="12">
        <f>N6</f>
        <v/>
      </c>
      <c r="C7" s="12">
        <f>IF(AND(Sizing!$D$12&gt;0,B7&gt;0),MIN(IF(Sizing!$D$15&gt;0,Sizing!$D$15,10^9),MAX(1,CEILING(Inputs!$D$12/(Sizing!$D$12*B7),1))),1)</f>
        <v/>
      </c>
      <c r="D7" s="12">
        <f>IF(Inputs!$D$52,Inputs!$D$48+Inputs!$D$49*(1-POWER(1-Inputs!$D$50/Inputs!$D$51,C7)),Inputs!$D$37)</f>
        <v/>
      </c>
      <c r="E7" s="12">
        <f>IF(Inputs!$D$52,Inputs!$D$48+Inputs!$D$49*(1-POWER(1-Inputs!$D$50/Inputs!$D$51,C7+1)),Inputs!$D$37)</f>
        <v/>
      </c>
      <c r="F7" s="12">
        <f>IF(AND(Inputs!$D$28&gt;0,Inputs!$D$70&gt;0),Inputs!$D$70*Inputs!$D$28*10^9*Inputs!$D$63/(E7*10^9*Inputs!$D$54+C7*Sizing!$D$7*1024^3+Inputs!$D$72*1024^3),0)</f>
        <v/>
      </c>
      <c r="G7" s="12">
        <f>IF(Inputs!$D$65&gt;0,Inputs!$D$65,IF(Inputs!$D$69="continuous",IF(AND(Sizing!$D$30&lt;=0,F7&lt;=0),0,IF(F7&lt;=0,Sizing!$D$30,IF(Sizing!$D$30&lt;=0,F7,MIN(Sizing!$D$30,F7)))),Sizing!$D$29))</f>
        <v/>
      </c>
      <c r="H7" s="12">
        <f>IF(C7&gt;0,Sizing!$D$26*Inputs!$D$62/(Sizing!$D$25+4*Inputs!$D$38*Inputs!$D$91*(Inputs!$D$21+(Inputs!$D$22-1)/2))/C7,0)</f>
        <v/>
      </c>
      <c r="I7" s="12">
        <f>IF(Inputs!$D$28&gt;0,Inputs!$D$28*10^9*Inputs!$D$63/(D7*10^9*Inputs!$D$54+C7*Sizing!$D$7*1024^3+Inputs!$D$72*1024^3),0)</f>
        <v/>
      </c>
      <c r="J7" s="12">
        <f>IF(Inputs!$D$66&gt;0,Inputs!$D$66,IF(AND(H7&lt;=0,I7&lt;=0),0,IF(I7&lt;=0,H7,IF(H7&lt;=0,I7,MIN(H7,I7)))))*Inputs!$D$68</f>
        <v/>
      </c>
      <c r="K7" s="12">
        <f>IF(AND(G7&gt;0,J7&gt;0),C7/(Sizing!$D$27/G7+Inputs!$D$22/J7),0)</f>
        <v/>
      </c>
      <c r="L7" s="12">
        <f>Sizing!$D$12*K7</f>
        <v/>
      </c>
      <c r="M7" s="12">
        <f>IF(L7&gt;0,CEILING(Inputs!$D$12*Inputs!$D$89*Inputs!$D$76/L7,1),0)</f>
        <v/>
      </c>
      <c r="N7" s="12">
        <f>MAX(Sizing!$D$22,M7)</f>
        <v/>
      </c>
      <c r="O7" s="12">
        <f>N7=B7</f>
        <v/>
      </c>
    </row>
    <row r="8">
      <c r="A8" s="8" t="n">
        <v>2</v>
      </c>
      <c r="B8" s="12">
        <f>N7</f>
        <v/>
      </c>
      <c r="C8" s="12">
        <f>IF(AND(Sizing!$D$12&gt;0,B8&gt;0),MIN(IF(Sizing!$D$15&gt;0,Sizing!$D$15,10^9),MAX(1,CEILING(Inputs!$D$12/(Sizing!$D$12*B8),1))),1)</f>
        <v/>
      </c>
      <c r="D8" s="12">
        <f>IF(Inputs!$D$52,Inputs!$D$48+Inputs!$D$49*(1-POWER(1-Inputs!$D$50/Inputs!$D$51,C8)),Inputs!$D$37)</f>
        <v/>
      </c>
      <c r="E8" s="12">
        <f>IF(Inputs!$D$52,Inputs!$D$48+Inputs!$D$49*(1-POWER(1-Inputs!$D$50/Inputs!$D$51,C8+1)),Inputs!$D$37)</f>
        <v/>
      </c>
      <c r="F8" s="12">
        <f>IF(AND(Inputs!$D$28&gt;0,Inputs!$D$70&gt;0),Inputs!$D$70*Inputs!$D$28*10^9*Inputs!$D$63/(E8*10^9*Inputs!$D$54+C8*Sizing!$D$7*1024^3+Inputs!$D$72*1024^3),0)</f>
        <v/>
      </c>
      <c r="G8" s="12">
        <f>IF(Inputs!$D$65&gt;0,Inputs!$D$65,IF(Inputs!$D$69="continuous",IF(AND(Sizing!$D$30&lt;=0,F8&lt;=0),0,IF(F8&lt;=0,Sizing!$D$30,IF(Sizing!$D$30&lt;=0,F8,MIN(Sizing!$D$30,F8)))),Sizing!$D$29))</f>
        <v/>
      </c>
      <c r="H8" s="12">
        <f>IF(C8&gt;0,Sizing!$D$26*Inputs!$D$62/(Sizing!$D$25+4*Inputs!$D$38*Inputs!$D$91*(Inputs!$D$21+(Inputs!$D$22-1)/2))/C8,0)</f>
        <v/>
      </c>
      <c r="I8" s="12">
        <f>IF(Inputs!$D$28&gt;0,Inputs!$D$28*10^9*Inputs!$D$63/(D8*10^9*Inputs!$D$54+C8*Sizing!$D$7*1024^3+Inputs!$D$72*1024^3),0)</f>
        <v/>
      </c>
      <c r="J8" s="12">
        <f>IF(Inputs!$D$66&gt;0,Inputs!$D$66,IF(AND(H8&lt;=0,I8&lt;=0),0,IF(I8&lt;=0,H8,IF(H8&lt;=0,I8,MIN(H8,I8)))))*Inputs!$D$68</f>
        <v/>
      </c>
      <c r="K8" s="12">
        <f>IF(AND(G8&gt;0,J8&gt;0),C8/(Sizing!$D$27/G8+Inputs!$D$22/J8),0)</f>
        <v/>
      </c>
      <c r="L8" s="12">
        <f>Sizing!$D$12*K8</f>
        <v/>
      </c>
      <c r="M8" s="12">
        <f>IF(L8&gt;0,CEILING(Inputs!$D$12*Inputs!$D$89*Inputs!$D$76/L8,1),0)</f>
        <v/>
      </c>
      <c r="N8" s="12">
        <f>MAX(Sizing!$D$22,M8)</f>
        <v/>
      </c>
      <c r="O8" s="12">
        <f>N8=B8</f>
        <v/>
      </c>
    </row>
    <row r="9">
      <c r="A9" s="8" t="n">
        <v>3</v>
      </c>
      <c r="B9" s="12">
        <f>N8</f>
        <v/>
      </c>
      <c r="C9" s="12">
        <f>IF(AND(Sizing!$D$12&gt;0,B9&gt;0),MIN(IF(Sizing!$D$15&gt;0,Sizing!$D$15,10^9),MAX(1,CEILING(Inputs!$D$12/(Sizing!$D$12*B9),1))),1)</f>
        <v/>
      </c>
      <c r="D9" s="12">
        <f>IF(Inputs!$D$52,Inputs!$D$48+Inputs!$D$49*(1-POWER(1-Inputs!$D$50/Inputs!$D$51,C9)),Inputs!$D$37)</f>
        <v/>
      </c>
      <c r="E9" s="12">
        <f>IF(Inputs!$D$52,Inputs!$D$48+Inputs!$D$49*(1-POWER(1-Inputs!$D$50/Inputs!$D$51,C9+1)),Inputs!$D$37)</f>
        <v/>
      </c>
      <c r="F9" s="12">
        <f>IF(AND(Inputs!$D$28&gt;0,Inputs!$D$70&gt;0),Inputs!$D$70*Inputs!$D$28*10^9*Inputs!$D$63/(E9*10^9*Inputs!$D$54+C9*Sizing!$D$7*1024^3+Inputs!$D$72*1024^3),0)</f>
        <v/>
      </c>
      <c r="G9" s="12">
        <f>IF(Inputs!$D$65&gt;0,Inputs!$D$65,IF(Inputs!$D$69="continuous",IF(AND(Sizing!$D$30&lt;=0,F9&lt;=0),0,IF(F9&lt;=0,Sizing!$D$30,IF(Sizing!$D$30&lt;=0,F9,MIN(Sizing!$D$30,F9)))),Sizing!$D$29))</f>
        <v/>
      </c>
      <c r="H9" s="12">
        <f>IF(C9&gt;0,Sizing!$D$26*Inputs!$D$62/(Sizing!$D$25+4*Inputs!$D$38*Inputs!$D$91*(Inputs!$D$21+(Inputs!$D$22-1)/2))/C9,0)</f>
        <v/>
      </c>
      <c r="I9" s="12">
        <f>IF(Inputs!$D$28&gt;0,Inputs!$D$28*10^9*Inputs!$D$63/(D9*10^9*Inputs!$D$54+C9*Sizing!$D$7*1024^3+Inputs!$D$72*1024^3),0)</f>
        <v/>
      </c>
      <c r="J9" s="12">
        <f>IF(Inputs!$D$66&gt;0,Inputs!$D$66,IF(AND(H9&lt;=0,I9&lt;=0),0,IF(I9&lt;=0,H9,IF(H9&lt;=0,I9,MIN(H9,I9)))))*Inputs!$D$68</f>
        <v/>
      </c>
      <c r="K9" s="12">
        <f>IF(AND(G9&gt;0,J9&gt;0),C9/(Sizing!$D$27/G9+Inputs!$D$22/J9),0)</f>
        <v/>
      </c>
      <c r="L9" s="12">
        <f>Sizing!$D$12*K9</f>
        <v/>
      </c>
      <c r="M9" s="12">
        <f>IF(L9&gt;0,CEILING(Inputs!$D$12*Inputs!$D$89*Inputs!$D$76/L9,1),0)</f>
        <v/>
      </c>
      <c r="N9" s="12">
        <f>MAX(Sizing!$D$22,M9)</f>
        <v/>
      </c>
      <c r="O9" s="12">
        <f>N9=B9</f>
        <v/>
      </c>
    </row>
    <row r="10">
      <c r="A10" s="8" t="n">
        <v>4</v>
      </c>
      <c r="B10" s="12">
        <f>N9</f>
        <v/>
      </c>
      <c r="C10" s="12">
        <f>IF(AND(Sizing!$D$12&gt;0,B10&gt;0),MIN(IF(Sizing!$D$15&gt;0,Sizing!$D$15,10^9),MAX(1,CEILING(Inputs!$D$12/(Sizing!$D$12*B10),1))),1)</f>
        <v/>
      </c>
      <c r="D10" s="12">
        <f>IF(Inputs!$D$52,Inputs!$D$48+Inputs!$D$49*(1-POWER(1-Inputs!$D$50/Inputs!$D$51,C10)),Inputs!$D$37)</f>
        <v/>
      </c>
      <c r="E10" s="12">
        <f>IF(Inputs!$D$52,Inputs!$D$48+Inputs!$D$49*(1-POWER(1-Inputs!$D$50/Inputs!$D$51,C10+1)),Inputs!$D$37)</f>
        <v/>
      </c>
      <c r="F10" s="12">
        <f>IF(AND(Inputs!$D$28&gt;0,Inputs!$D$70&gt;0),Inputs!$D$70*Inputs!$D$28*10^9*Inputs!$D$63/(E10*10^9*Inputs!$D$54+C10*Sizing!$D$7*1024^3+Inputs!$D$72*1024^3),0)</f>
        <v/>
      </c>
      <c r="G10" s="12">
        <f>IF(Inputs!$D$65&gt;0,Inputs!$D$65,IF(Inputs!$D$69="continuous",IF(AND(Sizing!$D$30&lt;=0,F10&lt;=0),0,IF(F10&lt;=0,Sizing!$D$30,IF(Sizing!$D$30&lt;=0,F10,MIN(Sizing!$D$30,F10)))),Sizing!$D$29))</f>
        <v/>
      </c>
      <c r="H10" s="12">
        <f>IF(C10&gt;0,Sizing!$D$26*Inputs!$D$62/(Sizing!$D$25+4*Inputs!$D$38*Inputs!$D$91*(Inputs!$D$21+(Inputs!$D$22-1)/2))/C10,0)</f>
        <v/>
      </c>
      <c r="I10" s="12">
        <f>IF(Inputs!$D$28&gt;0,Inputs!$D$28*10^9*Inputs!$D$63/(D10*10^9*Inputs!$D$54+C10*Sizing!$D$7*1024^3+Inputs!$D$72*1024^3),0)</f>
        <v/>
      </c>
      <c r="J10" s="12">
        <f>IF(Inputs!$D$66&gt;0,Inputs!$D$66,IF(AND(H10&lt;=0,I10&lt;=0),0,IF(I10&lt;=0,H10,IF(H10&lt;=0,I10,MIN(H10,I10)))))*Inputs!$D$68</f>
        <v/>
      </c>
      <c r="K10" s="12">
        <f>IF(AND(G10&gt;0,J10&gt;0),C10/(Sizing!$D$27/G10+Inputs!$D$22/J10),0)</f>
        <v/>
      </c>
      <c r="L10" s="12">
        <f>Sizing!$D$12*K10</f>
        <v/>
      </c>
      <c r="M10" s="12">
        <f>IF(L10&gt;0,CEILING(Inputs!$D$12*Inputs!$D$89*Inputs!$D$76/L10,1),0)</f>
        <v/>
      </c>
      <c r="N10" s="12">
        <f>MAX(Sizing!$D$22,M10)</f>
        <v/>
      </c>
      <c r="O10" s="12">
        <f>N10=B10</f>
        <v/>
      </c>
    </row>
    <row r="11">
      <c r="A11" s="8" t="n">
        <v>5</v>
      </c>
      <c r="B11" s="12">
        <f>N10</f>
        <v/>
      </c>
      <c r="C11" s="12">
        <f>IF(AND(Sizing!$D$12&gt;0,B11&gt;0),MIN(IF(Sizing!$D$15&gt;0,Sizing!$D$15,10^9),MAX(1,CEILING(Inputs!$D$12/(Sizing!$D$12*B11),1))),1)</f>
        <v/>
      </c>
      <c r="D11" s="12">
        <f>IF(Inputs!$D$52,Inputs!$D$48+Inputs!$D$49*(1-POWER(1-Inputs!$D$50/Inputs!$D$51,C11)),Inputs!$D$37)</f>
        <v/>
      </c>
      <c r="E11" s="12">
        <f>IF(Inputs!$D$52,Inputs!$D$48+Inputs!$D$49*(1-POWER(1-Inputs!$D$50/Inputs!$D$51,C11+1)),Inputs!$D$37)</f>
        <v/>
      </c>
      <c r="F11" s="12">
        <f>IF(AND(Inputs!$D$28&gt;0,Inputs!$D$70&gt;0),Inputs!$D$70*Inputs!$D$28*10^9*Inputs!$D$63/(E11*10^9*Inputs!$D$54+C11*Sizing!$D$7*1024^3+Inputs!$D$72*1024^3),0)</f>
        <v/>
      </c>
      <c r="G11" s="12">
        <f>IF(Inputs!$D$65&gt;0,Inputs!$D$65,IF(Inputs!$D$69="continuous",IF(AND(Sizing!$D$30&lt;=0,F11&lt;=0),0,IF(F11&lt;=0,Sizing!$D$30,IF(Sizing!$D$30&lt;=0,F11,MIN(Sizing!$D$30,F11)))),Sizing!$D$29))</f>
        <v/>
      </c>
      <c r="H11" s="12">
        <f>IF(C11&gt;0,Sizing!$D$26*Inputs!$D$62/(Sizing!$D$25+4*Inputs!$D$38*Inputs!$D$91*(Inputs!$D$21+(Inputs!$D$22-1)/2))/C11,0)</f>
        <v/>
      </c>
      <c r="I11" s="12">
        <f>IF(Inputs!$D$28&gt;0,Inputs!$D$28*10^9*Inputs!$D$63/(D11*10^9*Inputs!$D$54+C11*Sizing!$D$7*1024^3+Inputs!$D$72*1024^3),0)</f>
        <v/>
      </c>
      <c r="J11" s="12">
        <f>IF(Inputs!$D$66&gt;0,Inputs!$D$66,IF(AND(H11&lt;=0,I11&lt;=0),0,IF(I11&lt;=0,H11,IF(H11&lt;=0,I11,MIN(H11,I11)))))*Inputs!$D$68</f>
        <v/>
      </c>
      <c r="K11" s="12">
        <f>IF(AND(G11&gt;0,J11&gt;0),C11/(Sizing!$D$27/G11+Inputs!$D$22/J11),0)</f>
        <v/>
      </c>
      <c r="L11" s="12">
        <f>Sizing!$D$12*K11</f>
        <v/>
      </c>
      <c r="M11" s="12">
        <f>IF(L11&gt;0,CEILING(Inputs!$D$12*Inputs!$D$89*Inputs!$D$76/L11,1),0)</f>
        <v/>
      </c>
      <c r="N11" s="12">
        <f>MAX(Sizing!$D$22,M11)</f>
        <v/>
      </c>
      <c r="O11" s="12">
        <f>N11=B11</f>
        <v/>
      </c>
    </row>
    <row r="12">
      <c r="A12" s="8" t="n">
        <v>6</v>
      </c>
      <c r="B12" s="12">
        <f>N11</f>
        <v/>
      </c>
      <c r="C12" s="12">
        <f>IF(AND(Sizing!$D$12&gt;0,B12&gt;0),MIN(IF(Sizing!$D$15&gt;0,Sizing!$D$15,10^9),MAX(1,CEILING(Inputs!$D$12/(Sizing!$D$12*B12),1))),1)</f>
        <v/>
      </c>
      <c r="D12" s="12">
        <f>IF(Inputs!$D$52,Inputs!$D$48+Inputs!$D$49*(1-POWER(1-Inputs!$D$50/Inputs!$D$51,C12)),Inputs!$D$37)</f>
        <v/>
      </c>
      <c r="E12" s="12">
        <f>IF(Inputs!$D$52,Inputs!$D$48+Inputs!$D$49*(1-POWER(1-Inputs!$D$50/Inputs!$D$51,C12+1)),Inputs!$D$37)</f>
        <v/>
      </c>
      <c r="F12" s="12">
        <f>IF(AND(Inputs!$D$28&gt;0,Inputs!$D$70&gt;0),Inputs!$D$70*Inputs!$D$28*10^9*Inputs!$D$63/(E12*10^9*Inputs!$D$54+C12*Sizing!$D$7*1024^3+Inputs!$D$72*1024^3),0)</f>
        <v/>
      </c>
      <c r="G12" s="12">
        <f>IF(Inputs!$D$65&gt;0,Inputs!$D$65,IF(Inputs!$D$69="continuous",IF(AND(Sizing!$D$30&lt;=0,F12&lt;=0),0,IF(F12&lt;=0,Sizing!$D$30,IF(Sizing!$D$30&lt;=0,F12,MIN(Sizing!$D$30,F12)))),Sizing!$D$29))</f>
        <v/>
      </c>
      <c r="H12" s="12">
        <f>IF(C12&gt;0,Sizing!$D$26*Inputs!$D$62/(Sizing!$D$25+4*Inputs!$D$38*Inputs!$D$91*(Inputs!$D$21+(Inputs!$D$22-1)/2))/C12,0)</f>
        <v/>
      </c>
      <c r="I12" s="12">
        <f>IF(Inputs!$D$28&gt;0,Inputs!$D$28*10^9*Inputs!$D$63/(D12*10^9*Inputs!$D$54+C12*Sizing!$D$7*1024^3+Inputs!$D$72*1024^3),0)</f>
        <v/>
      </c>
      <c r="J12" s="12">
        <f>IF(Inputs!$D$66&gt;0,Inputs!$D$66,IF(AND(H12&lt;=0,I12&lt;=0),0,IF(I12&lt;=0,H12,IF(H12&lt;=0,I12,MIN(H12,I12)))))*Inputs!$D$68</f>
        <v/>
      </c>
      <c r="K12" s="12">
        <f>IF(AND(G12&gt;0,J12&gt;0),C12/(Sizing!$D$27/G12+Inputs!$D$22/J12),0)</f>
        <v/>
      </c>
      <c r="L12" s="12">
        <f>Sizing!$D$12*K12</f>
        <v/>
      </c>
      <c r="M12" s="12">
        <f>IF(L12&gt;0,CEILING(Inputs!$D$12*Inputs!$D$89*Inputs!$D$76/L12,1),0)</f>
        <v/>
      </c>
      <c r="N12" s="12">
        <f>MAX(Sizing!$D$22,M12)</f>
        <v/>
      </c>
      <c r="O12" s="12">
        <f>N12=B12</f>
        <v/>
      </c>
    </row>
    <row r="13">
      <c r="A13" s="8" t="n">
        <v>7</v>
      </c>
      <c r="B13" s="12">
        <f>N12</f>
        <v/>
      </c>
      <c r="C13" s="12">
        <f>IF(AND(Sizing!$D$12&gt;0,B13&gt;0),MIN(IF(Sizing!$D$15&gt;0,Sizing!$D$15,10^9),MAX(1,CEILING(Inputs!$D$12/(Sizing!$D$12*B13),1))),1)</f>
        <v/>
      </c>
      <c r="D13" s="12">
        <f>IF(Inputs!$D$52,Inputs!$D$48+Inputs!$D$49*(1-POWER(1-Inputs!$D$50/Inputs!$D$51,C13)),Inputs!$D$37)</f>
        <v/>
      </c>
      <c r="E13" s="12">
        <f>IF(Inputs!$D$52,Inputs!$D$48+Inputs!$D$49*(1-POWER(1-Inputs!$D$50/Inputs!$D$51,C13+1)),Inputs!$D$37)</f>
        <v/>
      </c>
      <c r="F13" s="12">
        <f>IF(AND(Inputs!$D$28&gt;0,Inputs!$D$70&gt;0),Inputs!$D$70*Inputs!$D$28*10^9*Inputs!$D$63/(E13*10^9*Inputs!$D$54+C13*Sizing!$D$7*1024^3+Inputs!$D$72*1024^3),0)</f>
        <v/>
      </c>
      <c r="G13" s="12">
        <f>IF(Inputs!$D$65&gt;0,Inputs!$D$65,IF(Inputs!$D$69="continuous",IF(AND(Sizing!$D$30&lt;=0,F13&lt;=0),0,IF(F13&lt;=0,Sizing!$D$30,IF(Sizing!$D$30&lt;=0,F13,MIN(Sizing!$D$30,F13)))),Sizing!$D$29))</f>
        <v/>
      </c>
      <c r="H13" s="12">
        <f>IF(C13&gt;0,Sizing!$D$26*Inputs!$D$62/(Sizing!$D$25+4*Inputs!$D$38*Inputs!$D$91*(Inputs!$D$21+(Inputs!$D$22-1)/2))/C13,0)</f>
        <v/>
      </c>
      <c r="I13" s="12">
        <f>IF(Inputs!$D$28&gt;0,Inputs!$D$28*10^9*Inputs!$D$63/(D13*10^9*Inputs!$D$54+C13*Sizing!$D$7*1024^3+Inputs!$D$72*1024^3),0)</f>
        <v/>
      </c>
      <c r="J13" s="12">
        <f>IF(Inputs!$D$66&gt;0,Inputs!$D$66,IF(AND(H13&lt;=0,I13&lt;=0),0,IF(I13&lt;=0,H13,IF(H13&lt;=0,I13,MIN(H13,I13)))))*Inputs!$D$68</f>
        <v/>
      </c>
      <c r="K13" s="12">
        <f>IF(AND(G13&gt;0,J13&gt;0),C13/(Sizing!$D$27/G13+Inputs!$D$22/J13),0)</f>
        <v/>
      </c>
      <c r="L13" s="12">
        <f>Sizing!$D$12*K13</f>
        <v/>
      </c>
      <c r="M13" s="12">
        <f>IF(L13&gt;0,CEILING(Inputs!$D$12*Inputs!$D$89*Inputs!$D$76/L13,1),0)</f>
        <v/>
      </c>
      <c r="N13" s="12">
        <f>MAX(Sizing!$D$22,M13)</f>
        <v/>
      </c>
      <c r="O13" s="12">
        <f>N13=B13</f>
        <v/>
      </c>
    </row>
    <row r="14">
      <c r="A14" s="8" t="n">
        <v>8</v>
      </c>
      <c r="B14" s="12">
        <f>N13</f>
        <v/>
      </c>
      <c r="C14" s="12">
        <f>IF(AND(Sizing!$D$12&gt;0,B14&gt;0),MIN(IF(Sizing!$D$15&gt;0,Sizing!$D$15,10^9),MAX(1,CEILING(Inputs!$D$12/(Sizing!$D$12*B14),1))),1)</f>
        <v/>
      </c>
      <c r="D14" s="12">
        <f>IF(Inputs!$D$52,Inputs!$D$48+Inputs!$D$49*(1-POWER(1-Inputs!$D$50/Inputs!$D$51,C14)),Inputs!$D$37)</f>
        <v/>
      </c>
      <c r="E14" s="12">
        <f>IF(Inputs!$D$52,Inputs!$D$48+Inputs!$D$49*(1-POWER(1-Inputs!$D$50/Inputs!$D$51,C14+1)),Inputs!$D$37)</f>
        <v/>
      </c>
      <c r="F14" s="12">
        <f>IF(AND(Inputs!$D$28&gt;0,Inputs!$D$70&gt;0),Inputs!$D$70*Inputs!$D$28*10^9*Inputs!$D$63/(E14*10^9*Inputs!$D$54+C14*Sizing!$D$7*1024^3+Inputs!$D$72*1024^3),0)</f>
        <v/>
      </c>
      <c r="G14" s="12">
        <f>IF(Inputs!$D$65&gt;0,Inputs!$D$65,IF(Inputs!$D$69="continuous",IF(AND(Sizing!$D$30&lt;=0,F14&lt;=0),0,IF(F14&lt;=0,Sizing!$D$30,IF(Sizing!$D$30&lt;=0,F14,MIN(Sizing!$D$30,F14)))),Sizing!$D$29))</f>
        <v/>
      </c>
      <c r="H14" s="12">
        <f>IF(C14&gt;0,Sizing!$D$26*Inputs!$D$62/(Sizing!$D$25+4*Inputs!$D$38*Inputs!$D$91*(Inputs!$D$21+(Inputs!$D$22-1)/2))/C14,0)</f>
        <v/>
      </c>
      <c r="I14" s="12">
        <f>IF(Inputs!$D$28&gt;0,Inputs!$D$28*10^9*Inputs!$D$63/(D14*10^9*Inputs!$D$54+C14*Sizing!$D$7*1024^3+Inputs!$D$72*1024^3),0)</f>
        <v/>
      </c>
      <c r="J14" s="12">
        <f>IF(Inputs!$D$66&gt;0,Inputs!$D$66,IF(AND(H14&lt;=0,I14&lt;=0),0,IF(I14&lt;=0,H14,IF(H14&lt;=0,I14,MIN(H14,I14)))))*Inputs!$D$68</f>
        <v/>
      </c>
      <c r="K14" s="12">
        <f>IF(AND(G14&gt;0,J14&gt;0),C14/(Sizing!$D$27/G14+Inputs!$D$22/J14),0)</f>
        <v/>
      </c>
      <c r="L14" s="12">
        <f>Sizing!$D$12*K14</f>
        <v/>
      </c>
      <c r="M14" s="12">
        <f>IF(L14&gt;0,CEILING(Inputs!$D$12*Inputs!$D$89*Inputs!$D$76/L14,1),0)</f>
        <v/>
      </c>
      <c r="N14" s="12">
        <f>MAX(Sizing!$D$22,M14)</f>
        <v/>
      </c>
      <c r="O14" s="12">
        <f>N14=B14</f>
        <v/>
      </c>
    </row>
    <row r="15">
      <c r="A15" s="8" t="n">
        <v>9</v>
      </c>
      <c r="B15" s="12">
        <f>N14</f>
        <v/>
      </c>
      <c r="C15" s="12">
        <f>IF(AND(Sizing!$D$12&gt;0,B15&gt;0),MIN(IF(Sizing!$D$15&gt;0,Sizing!$D$15,10^9),MAX(1,CEILING(Inputs!$D$12/(Sizing!$D$12*B15),1))),1)</f>
        <v/>
      </c>
      <c r="D15" s="12">
        <f>IF(Inputs!$D$52,Inputs!$D$48+Inputs!$D$49*(1-POWER(1-Inputs!$D$50/Inputs!$D$51,C15)),Inputs!$D$37)</f>
        <v/>
      </c>
      <c r="E15" s="12">
        <f>IF(Inputs!$D$52,Inputs!$D$48+Inputs!$D$49*(1-POWER(1-Inputs!$D$50/Inputs!$D$51,C15+1)),Inputs!$D$37)</f>
        <v/>
      </c>
      <c r="F15" s="12">
        <f>IF(AND(Inputs!$D$28&gt;0,Inputs!$D$70&gt;0),Inputs!$D$70*Inputs!$D$28*10^9*Inputs!$D$63/(E15*10^9*Inputs!$D$54+C15*Sizing!$D$7*1024^3+Inputs!$D$72*1024^3),0)</f>
        <v/>
      </c>
      <c r="G15" s="12">
        <f>IF(Inputs!$D$65&gt;0,Inputs!$D$65,IF(Inputs!$D$69="continuous",IF(AND(Sizing!$D$30&lt;=0,F15&lt;=0),0,IF(F15&lt;=0,Sizing!$D$30,IF(Sizing!$D$30&lt;=0,F15,MIN(Sizing!$D$30,F15)))),Sizing!$D$29))</f>
        <v/>
      </c>
      <c r="H15" s="12">
        <f>IF(C15&gt;0,Sizing!$D$26*Inputs!$D$62/(Sizing!$D$25+4*Inputs!$D$38*Inputs!$D$91*(Inputs!$D$21+(Inputs!$D$22-1)/2))/C15,0)</f>
        <v/>
      </c>
      <c r="I15" s="12">
        <f>IF(Inputs!$D$28&gt;0,Inputs!$D$28*10^9*Inputs!$D$63/(D15*10^9*Inputs!$D$54+C15*Sizing!$D$7*1024^3+Inputs!$D$72*1024^3),0)</f>
        <v/>
      </c>
      <c r="J15" s="12">
        <f>IF(Inputs!$D$66&gt;0,Inputs!$D$66,IF(AND(H15&lt;=0,I15&lt;=0),0,IF(I15&lt;=0,H15,IF(H15&lt;=0,I15,MIN(H15,I15)))))*Inputs!$D$68</f>
        <v/>
      </c>
      <c r="K15" s="12">
        <f>IF(AND(G15&gt;0,J15&gt;0),C15/(Sizing!$D$27/G15+Inputs!$D$22/J15),0)</f>
        <v/>
      </c>
      <c r="L15" s="12">
        <f>Sizing!$D$12*K15</f>
        <v/>
      </c>
      <c r="M15" s="12">
        <f>IF(L15&gt;0,CEILING(Inputs!$D$12*Inputs!$D$89*Inputs!$D$76/L15,1),0)</f>
        <v/>
      </c>
      <c r="N15" s="12">
        <f>MAX(Sizing!$D$22,M15)</f>
        <v/>
      </c>
      <c r="O15" s="12">
        <f>N15=B15</f>
        <v/>
      </c>
    </row>
    <row r="16">
      <c r="A16" s="8" t="n">
        <v>10</v>
      </c>
      <c r="B16" s="12">
        <f>N15</f>
        <v/>
      </c>
      <c r="C16" s="12">
        <f>IF(AND(Sizing!$D$12&gt;0,B16&gt;0),MIN(IF(Sizing!$D$15&gt;0,Sizing!$D$15,10^9),MAX(1,CEILING(Inputs!$D$12/(Sizing!$D$12*B16),1))),1)</f>
        <v/>
      </c>
      <c r="D16" s="12">
        <f>IF(Inputs!$D$52,Inputs!$D$48+Inputs!$D$49*(1-POWER(1-Inputs!$D$50/Inputs!$D$51,C16)),Inputs!$D$37)</f>
        <v/>
      </c>
      <c r="E16" s="12">
        <f>IF(Inputs!$D$52,Inputs!$D$48+Inputs!$D$49*(1-POWER(1-Inputs!$D$50/Inputs!$D$51,C16+1)),Inputs!$D$37)</f>
        <v/>
      </c>
      <c r="F16" s="12">
        <f>IF(AND(Inputs!$D$28&gt;0,Inputs!$D$70&gt;0),Inputs!$D$70*Inputs!$D$28*10^9*Inputs!$D$63/(E16*10^9*Inputs!$D$54+C16*Sizing!$D$7*1024^3+Inputs!$D$72*1024^3),0)</f>
        <v/>
      </c>
      <c r="G16" s="12">
        <f>IF(Inputs!$D$65&gt;0,Inputs!$D$65,IF(Inputs!$D$69="continuous",IF(AND(Sizing!$D$30&lt;=0,F16&lt;=0),0,IF(F16&lt;=0,Sizing!$D$30,IF(Sizing!$D$30&lt;=0,F16,MIN(Sizing!$D$30,F16)))),Sizing!$D$29))</f>
        <v/>
      </c>
      <c r="H16" s="12">
        <f>IF(C16&gt;0,Sizing!$D$26*Inputs!$D$62/(Sizing!$D$25+4*Inputs!$D$38*Inputs!$D$91*(Inputs!$D$21+(Inputs!$D$22-1)/2))/C16,0)</f>
        <v/>
      </c>
      <c r="I16" s="12">
        <f>IF(Inputs!$D$28&gt;0,Inputs!$D$28*10^9*Inputs!$D$63/(D16*10^9*Inputs!$D$54+C16*Sizing!$D$7*1024^3+Inputs!$D$72*1024^3),0)</f>
        <v/>
      </c>
      <c r="J16" s="12">
        <f>IF(Inputs!$D$66&gt;0,Inputs!$D$66,IF(AND(H16&lt;=0,I16&lt;=0),0,IF(I16&lt;=0,H16,IF(H16&lt;=0,I16,MIN(H16,I16)))))*Inputs!$D$68</f>
        <v/>
      </c>
      <c r="K16" s="12">
        <f>IF(AND(G16&gt;0,J16&gt;0),C16/(Sizing!$D$27/G16+Inputs!$D$22/J16),0)</f>
        <v/>
      </c>
      <c r="L16" s="12">
        <f>Sizing!$D$12*K16</f>
        <v/>
      </c>
      <c r="M16" s="12">
        <f>IF(L16&gt;0,CEILING(Inputs!$D$12*Inputs!$D$89*Inputs!$D$76/L16,1),0)</f>
        <v/>
      </c>
      <c r="N16" s="12">
        <f>MAX(Sizing!$D$22,M16)</f>
        <v/>
      </c>
      <c r="O16" s="12">
        <f>N16=B16</f>
        <v/>
      </c>
    </row>
    <row r="17">
      <c r="A17" s="8" t="n">
        <v>11</v>
      </c>
      <c r="B17" s="12">
        <f>N16</f>
        <v/>
      </c>
      <c r="C17" s="12">
        <f>IF(AND(Sizing!$D$12&gt;0,B17&gt;0),MIN(IF(Sizing!$D$15&gt;0,Sizing!$D$15,10^9),MAX(1,CEILING(Inputs!$D$12/(Sizing!$D$12*B17),1))),1)</f>
        <v/>
      </c>
      <c r="D17" s="12">
        <f>IF(Inputs!$D$52,Inputs!$D$48+Inputs!$D$49*(1-POWER(1-Inputs!$D$50/Inputs!$D$51,C17)),Inputs!$D$37)</f>
        <v/>
      </c>
      <c r="E17" s="12">
        <f>IF(Inputs!$D$52,Inputs!$D$48+Inputs!$D$49*(1-POWER(1-Inputs!$D$50/Inputs!$D$51,C17+1)),Inputs!$D$37)</f>
        <v/>
      </c>
      <c r="F17" s="12">
        <f>IF(AND(Inputs!$D$28&gt;0,Inputs!$D$70&gt;0),Inputs!$D$70*Inputs!$D$28*10^9*Inputs!$D$63/(E17*10^9*Inputs!$D$54+C17*Sizing!$D$7*1024^3+Inputs!$D$72*1024^3),0)</f>
        <v/>
      </c>
      <c r="G17" s="12">
        <f>IF(Inputs!$D$65&gt;0,Inputs!$D$65,IF(Inputs!$D$69="continuous",IF(AND(Sizing!$D$30&lt;=0,F17&lt;=0),0,IF(F17&lt;=0,Sizing!$D$30,IF(Sizing!$D$30&lt;=0,F17,MIN(Sizing!$D$30,F17)))),Sizing!$D$29))</f>
        <v/>
      </c>
      <c r="H17" s="12">
        <f>IF(C17&gt;0,Sizing!$D$26*Inputs!$D$62/(Sizing!$D$25+4*Inputs!$D$38*Inputs!$D$91*(Inputs!$D$21+(Inputs!$D$22-1)/2))/C17,0)</f>
        <v/>
      </c>
      <c r="I17" s="12">
        <f>IF(Inputs!$D$28&gt;0,Inputs!$D$28*10^9*Inputs!$D$63/(D17*10^9*Inputs!$D$54+C17*Sizing!$D$7*1024^3+Inputs!$D$72*1024^3),0)</f>
        <v/>
      </c>
      <c r="J17" s="12">
        <f>IF(Inputs!$D$66&gt;0,Inputs!$D$66,IF(AND(H17&lt;=0,I17&lt;=0),0,IF(I17&lt;=0,H17,IF(H17&lt;=0,I17,MIN(H17,I17)))))*Inputs!$D$68</f>
        <v/>
      </c>
      <c r="K17" s="12">
        <f>IF(AND(G17&gt;0,J17&gt;0),C17/(Sizing!$D$27/G17+Inputs!$D$22/J17),0)</f>
        <v/>
      </c>
      <c r="L17" s="12">
        <f>Sizing!$D$12*K17</f>
        <v/>
      </c>
      <c r="M17" s="12">
        <f>IF(L17&gt;0,CEILING(Inputs!$D$12*Inputs!$D$89*Inputs!$D$76/L17,1),0)</f>
        <v/>
      </c>
      <c r="N17" s="12">
        <f>MAX(Sizing!$D$22,M17)</f>
        <v/>
      </c>
      <c r="O17" s="12">
        <f>N17=B17</f>
        <v/>
      </c>
    </row>
    <row r="18">
      <c r="A18" s="8" t="n">
        <v>12</v>
      </c>
      <c r="B18" s="12">
        <f>N17</f>
        <v/>
      </c>
      <c r="C18" s="12">
        <f>IF(AND(Sizing!$D$12&gt;0,B18&gt;0),MIN(IF(Sizing!$D$15&gt;0,Sizing!$D$15,10^9),MAX(1,CEILING(Inputs!$D$12/(Sizing!$D$12*B18),1))),1)</f>
        <v/>
      </c>
      <c r="D18" s="12">
        <f>IF(Inputs!$D$52,Inputs!$D$48+Inputs!$D$49*(1-POWER(1-Inputs!$D$50/Inputs!$D$51,C18)),Inputs!$D$37)</f>
        <v/>
      </c>
      <c r="E18" s="12">
        <f>IF(Inputs!$D$52,Inputs!$D$48+Inputs!$D$49*(1-POWER(1-Inputs!$D$50/Inputs!$D$51,C18+1)),Inputs!$D$37)</f>
        <v/>
      </c>
      <c r="F18" s="12">
        <f>IF(AND(Inputs!$D$28&gt;0,Inputs!$D$70&gt;0),Inputs!$D$70*Inputs!$D$28*10^9*Inputs!$D$63/(E18*10^9*Inputs!$D$54+C18*Sizing!$D$7*1024^3+Inputs!$D$72*1024^3),0)</f>
        <v/>
      </c>
      <c r="G18" s="12">
        <f>IF(Inputs!$D$65&gt;0,Inputs!$D$65,IF(Inputs!$D$69="continuous",IF(AND(Sizing!$D$30&lt;=0,F18&lt;=0),0,IF(F18&lt;=0,Sizing!$D$30,IF(Sizing!$D$30&lt;=0,F18,MIN(Sizing!$D$30,F18)))),Sizing!$D$29))</f>
        <v/>
      </c>
      <c r="H18" s="12">
        <f>IF(C18&gt;0,Sizing!$D$26*Inputs!$D$62/(Sizing!$D$25+4*Inputs!$D$38*Inputs!$D$91*(Inputs!$D$21+(Inputs!$D$22-1)/2))/C18,0)</f>
        <v/>
      </c>
      <c r="I18" s="12">
        <f>IF(Inputs!$D$28&gt;0,Inputs!$D$28*10^9*Inputs!$D$63/(D18*10^9*Inputs!$D$54+C18*Sizing!$D$7*1024^3+Inputs!$D$72*1024^3),0)</f>
        <v/>
      </c>
      <c r="J18" s="12">
        <f>IF(Inputs!$D$66&gt;0,Inputs!$D$66,IF(AND(H18&lt;=0,I18&lt;=0),0,IF(I18&lt;=0,H18,IF(H18&lt;=0,I18,MIN(H18,I18)))))*Inputs!$D$68</f>
        <v/>
      </c>
      <c r="K18" s="12">
        <f>IF(AND(G18&gt;0,J18&gt;0),C18/(Sizing!$D$27/G18+Inputs!$D$22/J18),0)</f>
        <v/>
      </c>
      <c r="L18" s="12">
        <f>Sizing!$D$12*K18</f>
        <v/>
      </c>
      <c r="M18" s="12">
        <f>IF(L18&gt;0,CEILING(Inputs!$D$12*Inputs!$D$89*Inputs!$D$76/L18,1),0)</f>
        <v/>
      </c>
      <c r="N18" s="12">
        <f>MAX(Sizing!$D$22,M18)</f>
        <v/>
      </c>
      <c r="O18" s="12">
        <f>N18=B18</f>
        <v/>
      </c>
    </row>
    <row r="19">
      <c r="A19" s="8" t="n">
        <v>13</v>
      </c>
      <c r="B19" s="12">
        <f>N18</f>
        <v/>
      </c>
      <c r="C19" s="12">
        <f>IF(AND(Sizing!$D$12&gt;0,B19&gt;0),MIN(IF(Sizing!$D$15&gt;0,Sizing!$D$15,10^9),MAX(1,CEILING(Inputs!$D$12/(Sizing!$D$12*B19),1))),1)</f>
        <v/>
      </c>
      <c r="D19" s="12">
        <f>IF(Inputs!$D$52,Inputs!$D$48+Inputs!$D$49*(1-POWER(1-Inputs!$D$50/Inputs!$D$51,C19)),Inputs!$D$37)</f>
        <v/>
      </c>
      <c r="E19" s="12">
        <f>IF(Inputs!$D$52,Inputs!$D$48+Inputs!$D$49*(1-POWER(1-Inputs!$D$50/Inputs!$D$51,C19+1)),Inputs!$D$37)</f>
        <v/>
      </c>
      <c r="F19" s="12">
        <f>IF(AND(Inputs!$D$28&gt;0,Inputs!$D$70&gt;0),Inputs!$D$70*Inputs!$D$28*10^9*Inputs!$D$63/(E19*10^9*Inputs!$D$54+C19*Sizing!$D$7*1024^3+Inputs!$D$72*1024^3),0)</f>
        <v/>
      </c>
      <c r="G19" s="12">
        <f>IF(Inputs!$D$65&gt;0,Inputs!$D$65,IF(Inputs!$D$69="continuous",IF(AND(Sizing!$D$30&lt;=0,F19&lt;=0),0,IF(F19&lt;=0,Sizing!$D$30,IF(Sizing!$D$30&lt;=0,F19,MIN(Sizing!$D$30,F19)))),Sizing!$D$29))</f>
        <v/>
      </c>
      <c r="H19" s="12">
        <f>IF(C19&gt;0,Sizing!$D$26*Inputs!$D$62/(Sizing!$D$25+4*Inputs!$D$38*Inputs!$D$91*(Inputs!$D$21+(Inputs!$D$22-1)/2))/C19,0)</f>
        <v/>
      </c>
      <c r="I19" s="12">
        <f>IF(Inputs!$D$28&gt;0,Inputs!$D$28*10^9*Inputs!$D$63/(D19*10^9*Inputs!$D$54+C19*Sizing!$D$7*1024^3+Inputs!$D$72*1024^3),0)</f>
        <v/>
      </c>
      <c r="J19" s="12">
        <f>IF(Inputs!$D$66&gt;0,Inputs!$D$66,IF(AND(H19&lt;=0,I19&lt;=0),0,IF(I19&lt;=0,H19,IF(H19&lt;=0,I19,MIN(H19,I19)))))*Inputs!$D$68</f>
        <v/>
      </c>
      <c r="K19" s="12">
        <f>IF(AND(G19&gt;0,J19&gt;0),C19/(Sizing!$D$27/G19+Inputs!$D$22/J19),0)</f>
        <v/>
      </c>
      <c r="L19" s="12">
        <f>Sizing!$D$12*K19</f>
        <v/>
      </c>
      <c r="M19" s="12">
        <f>IF(L19&gt;0,CEILING(Inputs!$D$12*Inputs!$D$89*Inputs!$D$76/L19,1),0)</f>
        <v/>
      </c>
      <c r="N19" s="12">
        <f>MAX(Sizing!$D$22,M19)</f>
        <v/>
      </c>
      <c r="O19" s="12">
        <f>N19=B19</f>
        <v/>
      </c>
    </row>
    <row r="20">
      <c r="A20" s="8" t="n">
        <v>14</v>
      </c>
      <c r="B20" s="12">
        <f>N19</f>
        <v/>
      </c>
      <c r="C20" s="12">
        <f>IF(AND(Sizing!$D$12&gt;0,B20&gt;0),MIN(IF(Sizing!$D$15&gt;0,Sizing!$D$15,10^9),MAX(1,CEILING(Inputs!$D$12/(Sizing!$D$12*B20),1))),1)</f>
        <v/>
      </c>
      <c r="D20" s="12">
        <f>IF(Inputs!$D$52,Inputs!$D$48+Inputs!$D$49*(1-POWER(1-Inputs!$D$50/Inputs!$D$51,C20)),Inputs!$D$37)</f>
        <v/>
      </c>
      <c r="E20" s="12">
        <f>IF(Inputs!$D$52,Inputs!$D$48+Inputs!$D$49*(1-POWER(1-Inputs!$D$50/Inputs!$D$51,C20+1)),Inputs!$D$37)</f>
        <v/>
      </c>
      <c r="F20" s="12">
        <f>IF(AND(Inputs!$D$28&gt;0,Inputs!$D$70&gt;0),Inputs!$D$70*Inputs!$D$28*10^9*Inputs!$D$63/(E20*10^9*Inputs!$D$54+C20*Sizing!$D$7*1024^3+Inputs!$D$72*1024^3),0)</f>
        <v/>
      </c>
      <c r="G20" s="12">
        <f>IF(Inputs!$D$65&gt;0,Inputs!$D$65,IF(Inputs!$D$69="continuous",IF(AND(Sizing!$D$30&lt;=0,F20&lt;=0),0,IF(F20&lt;=0,Sizing!$D$30,IF(Sizing!$D$30&lt;=0,F20,MIN(Sizing!$D$30,F20)))),Sizing!$D$29))</f>
        <v/>
      </c>
      <c r="H20" s="12">
        <f>IF(C20&gt;0,Sizing!$D$26*Inputs!$D$62/(Sizing!$D$25+4*Inputs!$D$38*Inputs!$D$91*(Inputs!$D$21+(Inputs!$D$22-1)/2))/C20,0)</f>
        <v/>
      </c>
      <c r="I20" s="12">
        <f>IF(Inputs!$D$28&gt;0,Inputs!$D$28*10^9*Inputs!$D$63/(D20*10^9*Inputs!$D$54+C20*Sizing!$D$7*1024^3+Inputs!$D$72*1024^3),0)</f>
        <v/>
      </c>
      <c r="J20" s="12">
        <f>IF(Inputs!$D$66&gt;0,Inputs!$D$66,IF(AND(H20&lt;=0,I20&lt;=0),0,IF(I20&lt;=0,H20,IF(H20&lt;=0,I20,MIN(H20,I20)))))*Inputs!$D$68</f>
        <v/>
      </c>
      <c r="K20" s="12">
        <f>IF(AND(G20&gt;0,J20&gt;0),C20/(Sizing!$D$27/G20+Inputs!$D$22/J20),0)</f>
        <v/>
      </c>
      <c r="L20" s="12">
        <f>Sizing!$D$12*K20</f>
        <v/>
      </c>
      <c r="M20" s="12">
        <f>IF(L20&gt;0,CEILING(Inputs!$D$12*Inputs!$D$89*Inputs!$D$76/L20,1),0)</f>
        <v/>
      </c>
      <c r="N20" s="12">
        <f>MAX(Sizing!$D$22,M20)</f>
        <v/>
      </c>
      <c r="O20" s="12">
        <f>N20=B20</f>
        <v/>
      </c>
    </row>
    <row r="21">
      <c r="A21" s="8" t="n">
        <v>15</v>
      </c>
      <c r="B21" s="12">
        <f>N20</f>
        <v/>
      </c>
      <c r="C21" s="12">
        <f>IF(AND(Sizing!$D$12&gt;0,B21&gt;0),MIN(IF(Sizing!$D$15&gt;0,Sizing!$D$15,10^9),MAX(1,CEILING(Inputs!$D$12/(Sizing!$D$12*B21),1))),1)</f>
        <v/>
      </c>
      <c r="D21" s="12">
        <f>IF(Inputs!$D$52,Inputs!$D$48+Inputs!$D$49*(1-POWER(1-Inputs!$D$50/Inputs!$D$51,C21)),Inputs!$D$37)</f>
        <v/>
      </c>
      <c r="E21" s="12">
        <f>IF(Inputs!$D$52,Inputs!$D$48+Inputs!$D$49*(1-POWER(1-Inputs!$D$50/Inputs!$D$51,C21+1)),Inputs!$D$37)</f>
        <v/>
      </c>
      <c r="F21" s="12">
        <f>IF(AND(Inputs!$D$28&gt;0,Inputs!$D$70&gt;0),Inputs!$D$70*Inputs!$D$28*10^9*Inputs!$D$63/(E21*10^9*Inputs!$D$54+C21*Sizing!$D$7*1024^3+Inputs!$D$72*1024^3),0)</f>
        <v/>
      </c>
      <c r="G21" s="12">
        <f>IF(Inputs!$D$65&gt;0,Inputs!$D$65,IF(Inputs!$D$69="continuous",IF(AND(Sizing!$D$30&lt;=0,F21&lt;=0),0,IF(F21&lt;=0,Sizing!$D$30,IF(Sizing!$D$30&lt;=0,F21,MIN(Sizing!$D$30,F21)))),Sizing!$D$29))</f>
        <v/>
      </c>
      <c r="H21" s="12">
        <f>IF(C21&gt;0,Sizing!$D$26*Inputs!$D$62/(Sizing!$D$25+4*Inputs!$D$38*Inputs!$D$91*(Inputs!$D$21+(Inputs!$D$22-1)/2))/C21,0)</f>
        <v/>
      </c>
      <c r="I21" s="12">
        <f>IF(Inputs!$D$28&gt;0,Inputs!$D$28*10^9*Inputs!$D$63/(D21*10^9*Inputs!$D$54+C21*Sizing!$D$7*1024^3+Inputs!$D$72*1024^3),0)</f>
        <v/>
      </c>
      <c r="J21" s="12">
        <f>IF(Inputs!$D$66&gt;0,Inputs!$D$66,IF(AND(H21&lt;=0,I21&lt;=0),0,IF(I21&lt;=0,H21,IF(H21&lt;=0,I21,MIN(H21,I21)))))*Inputs!$D$68</f>
        <v/>
      </c>
      <c r="K21" s="12">
        <f>IF(AND(G21&gt;0,J21&gt;0),C21/(Sizing!$D$27/G21+Inputs!$D$22/J21),0)</f>
        <v/>
      </c>
      <c r="L21" s="12">
        <f>Sizing!$D$12*K21</f>
        <v/>
      </c>
      <c r="M21" s="12">
        <f>IF(L21&gt;0,CEILING(Inputs!$D$12*Inputs!$D$89*Inputs!$D$76/L21,1),0)</f>
        <v/>
      </c>
      <c r="N21" s="12">
        <f>MAX(Sizing!$D$22,M21)</f>
        <v/>
      </c>
      <c r="O21" s="12">
        <f>N21=B21</f>
        <v/>
      </c>
    </row>
    <row r="22">
      <c r="A22" s="8" t="n">
        <v>16</v>
      </c>
      <c r="B22" s="12">
        <f>N21</f>
        <v/>
      </c>
      <c r="C22" s="12">
        <f>IF(AND(Sizing!$D$12&gt;0,B22&gt;0),MIN(IF(Sizing!$D$15&gt;0,Sizing!$D$15,10^9),MAX(1,CEILING(Inputs!$D$12/(Sizing!$D$12*B22),1))),1)</f>
        <v/>
      </c>
      <c r="D22" s="12">
        <f>IF(Inputs!$D$52,Inputs!$D$48+Inputs!$D$49*(1-POWER(1-Inputs!$D$50/Inputs!$D$51,C22)),Inputs!$D$37)</f>
        <v/>
      </c>
      <c r="E22" s="12">
        <f>IF(Inputs!$D$52,Inputs!$D$48+Inputs!$D$49*(1-POWER(1-Inputs!$D$50/Inputs!$D$51,C22+1)),Inputs!$D$37)</f>
        <v/>
      </c>
      <c r="F22" s="12">
        <f>IF(AND(Inputs!$D$28&gt;0,Inputs!$D$70&gt;0),Inputs!$D$70*Inputs!$D$28*10^9*Inputs!$D$63/(E22*10^9*Inputs!$D$54+C22*Sizing!$D$7*1024^3+Inputs!$D$72*1024^3),0)</f>
        <v/>
      </c>
      <c r="G22" s="12">
        <f>IF(Inputs!$D$65&gt;0,Inputs!$D$65,IF(Inputs!$D$69="continuous",IF(AND(Sizing!$D$30&lt;=0,F22&lt;=0),0,IF(F22&lt;=0,Sizing!$D$30,IF(Sizing!$D$30&lt;=0,F22,MIN(Sizing!$D$30,F22)))),Sizing!$D$29))</f>
        <v/>
      </c>
      <c r="H22" s="12">
        <f>IF(C22&gt;0,Sizing!$D$26*Inputs!$D$62/(Sizing!$D$25+4*Inputs!$D$38*Inputs!$D$91*(Inputs!$D$21+(Inputs!$D$22-1)/2))/C22,0)</f>
        <v/>
      </c>
      <c r="I22" s="12">
        <f>IF(Inputs!$D$28&gt;0,Inputs!$D$28*10^9*Inputs!$D$63/(D22*10^9*Inputs!$D$54+C22*Sizing!$D$7*1024^3+Inputs!$D$72*1024^3),0)</f>
        <v/>
      </c>
      <c r="J22" s="12">
        <f>IF(Inputs!$D$66&gt;0,Inputs!$D$66,IF(AND(H22&lt;=0,I22&lt;=0),0,IF(I22&lt;=0,H22,IF(H22&lt;=0,I22,MIN(H22,I22)))))*Inputs!$D$68</f>
        <v/>
      </c>
      <c r="K22" s="12">
        <f>IF(AND(G22&gt;0,J22&gt;0),C22/(Sizing!$D$27/G22+Inputs!$D$22/J22),0)</f>
        <v/>
      </c>
      <c r="L22" s="12">
        <f>Sizing!$D$12*K22</f>
        <v/>
      </c>
      <c r="M22" s="12">
        <f>IF(L22&gt;0,CEILING(Inputs!$D$12*Inputs!$D$89*Inputs!$D$76/L22,1),0)</f>
        <v/>
      </c>
      <c r="N22" s="12">
        <f>MAX(Sizing!$D$22,M22)</f>
        <v/>
      </c>
      <c r="O22" s="12">
        <f>N22=B22</f>
        <v/>
      </c>
    </row>
    <row r="23">
      <c r="A23" s="8" t="n">
        <v>17</v>
      </c>
      <c r="B23" s="12">
        <f>N22</f>
        <v/>
      </c>
      <c r="C23" s="12">
        <f>IF(AND(Sizing!$D$12&gt;0,B23&gt;0),MIN(IF(Sizing!$D$15&gt;0,Sizing!$D$15,10^9),MAX(1,CEILING(Inputs!$D$12/(Sizing!$D$12*B23),1))),1)</f>
        <v/>
      </c>
      <c r="D23" s="12">
        <f>IF(Inputs!$D$52,Inputs!$D$48+Inputs!$D$49*(1-POWER(1-Inputs!$D$50/Inputs!$D$51,C23)),Inputs!$D$37)</f>
        <v/>
      </c>
      <c r="E23" s="12">
        <f>IF(Inputs!$D$52,Inputs!$D$48+Inputs!$D$49*(1-POWER(1-Inputs!$D$50/Inputs!$D$51,C23+1)),Inputs!$D$37)</f>
        <v/>
      </c>
      <c r="F23" s="12">
        <f>IF(AND(Inputs!$D$28&gt;0,Inputs!$D$70&gt;0),Inputs!$D$70*Inputs!$D$28*10^9*Inputs!$D$63/(E23*10^9*Inputs!$D$54+C23*Sizing!$D$7*1024^3+Inputs!$D$72*1024^3),0)</f>
        <v/>
      </c>
      <c r="G23" s="12">
        <f>IF(Inputs!$D$65&gt;0,Inputs!$D$65,IF(Inputs!$D$69="continuous",IF(AND(Sizing!$D$30&lt;=0,F23&lt;=0),0,IF(F23&lt;=0,Sizing!$D$30,IF(Sizing!$D$30&lt;=0,F23,MIN(Sizing!$D$30,F23)))),Sizing!$D$29))</f>
        <v/>
      </c>
      <c r="H23" s="12">
        <f>IF(C23&gt;0,Sizing!$D$26*Inputs!$D$62/(Sizing!$D$25+4*Inputs!$D$38*Inputs!$D$91*(Inputs!$D$21+(Inputs!$D$22-1)/2))/C23,0)</f>
        <v/>
      </c>
      <c r="I23" s="12">
        <f>IF(Inputs!$D$28&gt;0,Inputs!$D$28*10^9*Inputs!$D$63/(D23*10^9*Inputs!$D$54+C23*Sizing!$D$7*1024^3+Inputs!$D$72*1024^3),0)</f>
        <v/>
      </c>
      <c r="J23" s="12">
        <f>IF(Inputs!$D$66&gt;0,Inputs!$D$66,IF(AND(H23&lt;=0,I23&lt;=0),0,IF(I23&lt;=0,H23,IF(H23&lt;=0,I23,MIN(H23,I23)))))*Inputs!$D$68</f>
        <v/>
      </c>
      <c r="K23" s="12">
        <f>IF(AND(G23&gt;0,J23&gt;0),C23/(Sizing!$D$27/G23+Inputs!$D$22/J23),0)</f>
        <v/>
      </c>
      <c r="L23" s="12">
        <f>Sizing!$D$12*K23</f>
        <v/>
      </c>
      <c r="M23" s="12">
        <f>IF(L23&gt;0,CEILING(Inputs!$D$12*Inputs!$D$89*Inputs!$D$76/L23,1),0)</f>
        <v/>
      </c>
      <c r="N23" s="12">
        <f>MAX(Sizing!$D$22,M23)</f>
        <v/>
      </c>
      <c r="O23" s="12">
        <f>N23=B23</f>
        <v/>
      </c>
    </row>
    <row r="24">
      <c r="A24" s="8" t="n">
        <v>18</v>
      </c>
      <c r="B24" s="12">
        <f>N23</f>
        <v/>
      </c>
      <c r="C24" s="12">
        <f>IF(AND(Sizing!$D$12&gt;0,B24&gt;0),MIN(IF(Sizing!$D$15&gt;0,Sizing!$D$15,10^9),MAX(1,CEILING(Inputs!$D$12/(Sizing!$D$12*B24),1))),1)</f>
        <v/>
      </c>
      <c r="D24" s="12">
        <f>IF(Inputs!$D$52,Inputs!$D$48+Inputs!$D$49*(1-POWER(1-Inputs!$D$50/Inputs!$D$51,C24)),Inputs!$D$37)</f>
        <v/>
      </c>
      <c r="E24" s="12">
        <f>IF(Inputs!$D$52,Inputs!$D$48+Inputs!$D$49*(1-POWER(1-Inputs!$D$50/Inputs!$D$51,C24+1)),Inputs!$D$37)</f>
        <v/>
      </c>
      <c r="F24" s="12">
        <f>IF(AND(Inputs!$D$28&gt;0,Inputs!$D$70&gt;0),Inputs!$D$70*Inputs!$D$28*10^9*Inputs!$D$63/(E24*10^9*Inputs!$D$54+C24*Sizing!$D$7*1024^3+Inputs!$D$72*1024^3),0)</f>
        <v/>
      </c>
      <c r="G24" s="12">
        <f>IF(Inputs!$D$65&gt;0,Inputs!$D$65,IF(Inputs!$D$69="continuous",IF(AND(Sizing!$D$30&lt;=0,F24&lt;=0),0,IF(F24&lt;=0,Sizing!$D$30,IF(Sizing!$D$30&lt;=0,F24,MIN(Sizing!$D$30,F24)))),Sizing!$D$29))</f>
        <v/>
      </c>
      <c r="H24" s="12">
        <f>IF(C24&gt;0,Sizing!$D$26*Inputs!$D$62/(Sizing!$D$25+4*Inputs!$D$38*Inputs!$D$91*(Inputs!$D$21+(Inputs!$D$22-1)/2))/C24,0)</f>
        <v/>
      </c>
      <c r="I24" s="12">
        <f>IF(Inputs!$D$28&gt;0,Inputs!$D$28*10^9*Inputs!$D$63/(D24*10^9*Inputs!$D$54+C24*Sizing!$D$7*1024^3+Inputs!$D$72*1024^3),0)</f>
        <v/>
      </c>
      <c r="J24" s="12">
        <f>IF(Inputs!$D$66&gt;0,Inputs!$D$66,IF(AND(H24&lt;=0,I24&lt;=0),0,IF(I24&lt;=0,H24,IF(H24&lt;=0,I24,MIN(H24,I24)))))*Inputs!$D$68</f>
        <v/>
      </c>
      <c r="K24" s="12">
        <f>IF(AND(G24&gt;0,J24&gt;0),C24/(Sizing!$D$27/G24+Inputs!$D$22/J24),0)</f>
        <v/>
      </c>
      <c r="L24" s="12">
        <f>Sizing!$D$12*K24</f>
        <v/>
      </c>
      <c r="M24" s="12">
        <f>IF(L24&gt;0,CEILING(Inputs!$D$12*Inputs!$D$89*Inputs!$D$76/L24,1),0)</f>
        <v/>
      </c>
      <c r="N24" s="12">
        <f>MAX(Sizing!$D$22,M24)</f>
        <v/>
      </c>
      <c r="O24" s="12">
        <f>N24=B24</f>
        <v/>
      </c>
    </row>
    <row r="25">
      <c r="A25" s="8" t="n">
        <v>19</v>
      </c>
      <c r="B25" s="12">
        <f>N24</f>
        <v/>
      </c>
      <c r="C25" s="12">
        <f>IF(AND(Sizing!$D$12&gt;0,B25&gt;0),MIN(IF(Sizing!$D$15&gt;0,Sizing!$D$15,10^9),MAX(1,CEILING(Inputs!$D$12/(Sizing!$D$12*B25),1))),1)</f>
        <v/>
      </c>
      <c r="D25" s="12">
        <f>IF(Inputs!$D$52,Inputs!$D$48+Inputs!$D$49*(1-POWER(1-Inputs!$D$50/Inputs!$D$51,C25)),Inputs!$D$37)</f>
        <v/>
      </c>
      <c r="E25" s="12">
        <f>IF(Inputs!$D$52,Inputs!$D$48+Inputs!$D$49*(1-POWER(1-Inputs!$D$50/Inputs!$D$51,C25+1)),Inputs!$D$37)</f>
        <v/>
      </c>
      <c r="F25" s="12">
        <f>IF(AND(Inputs!$D$28&gt;0,Inputs!$D$70&gt;0),Inputs!$D$70*Inputs!$D$28*10^9*Inputs!$D$63/(E25*10^9*Inputs!$D$54+C25*Sizing!$D$7*1024^3+Inputs!$D$72*1024^3),0)</f>
        <v/>
      </c>
      <c r="G25" s="12">
        <f>IF(Inputs!$D$65&gt;0,Inputs!$D$65,IF(Inputs!$D$69="continuous",IF(AND(Sizing!$D$30&lt;=0,F25&lt;=0),0,IF(F25&lt;=0,Sizing!$D$30,IF(Sizing!$D$30&lt;=0,F25,MIN(Sizing!$D$30,F25)))),Sizing!$D$29))</f>
        <v/>
      </c>
      <c r="H25" s="12">
        <f>IF(C25&gt;0,Sizing!$D$26*Inputs!$D$62/(Sizing!$D$25+4*Inputs!$D$38*Inputs!$D$91*(Inputs!$D$21+(Inputs!$D$22-1)/2))/C25,0)</f>
        <v/>
      </c>
      <c r="I25" s="12">
        <f>IF(Inputs!$D$28&gt;0,Inputs!$D$28*10^9*Inputs!$D$63/(D25*10^9*Inputs!$D$54+C25*Sizing!$D$7*1024^3+Inputs!$D$72*1024^3),0)</f>
        <v/>
      </c>
      <c r="J25" s="12">
        <f>IF(Inputs!$D$66&gt;0,Inputs!$D$66,IF(AND(H25&lt;=0,I25&lt;=0),0,IF(I25&lt;=0,H25,IF(H25&lt;=0,I25,MIN(H25,I25)))))*Inputs!$D$68</f>
        <v/>
      </c>
      <c r="K25" s="12">
        <f>IF(AND(G25&gt;0,J25&gt;0),C25/(Sizing!$D$27/G25+Inputs!$D$22/J25),0)</f>
        <v/>
      </c>
      <c r="L25" s="12">
        <f>Sizing!$D$12*K25</f>
        <v/>
      </c>
      <c r="M25" s="12">
        <f>IF(L25&gt;0,CEILING(Inputs!$D$12*Inputs!$D$89*Inputs!$D$76/L25,1),0)</f>
        <v/>
      </c>
      <c r="N25" s="12">
        <f>MAX(Sizing!$D$22,M25)</f>
        <v/>
      </c>
      <c r="O25" s="12">
        <f>N25=B25</f>
        <v/>
      </c>
    </row>
    <row r="28">
      <c r="A28" s="8" t="inlineStr">
        <is>
          <t>Статус сходимости</t>
        </is>
      </c>
      <c r="B28">
        <f>IF(ISNUMBER(MATCH(TRUE(),O6:O25,0)),"converged",IF(N30&lt;=B30,"oscillating","not_converged"))</f>
        <v/>
      </c>
    </row>
    <row r="29">
      <c r="A29" s="8" t="inlineStr">
        <is>
          <t>Кандидат без сходимости: max(Servers^(20), Servers^(19)); самосогласован, если max(Servers_mem, Servers^comp(кандидат)) ≤ кандидат</t>
        </is>
      </c>
      <c r="B29">
        <f>IFERROR(MATCH(TRUE(),O6:O25,0),20)</f>
        <v/>
      </c>
    </row>
    <row r="30">
      <c r="A30" s="8" t="inlineStr">
        <is>
          <t>кандидат</t>
        </is>
      </c>
      <c r="B30" s="12">
        <f>MAX(N25,B25)</f>
        <v/>
      </c>
      <c r="C30" s="12">
        <f>IF(AND(Sizing!$D$12&gt;0,B30&gt;0),MIN(IF(Sizing!$D$15&gt;0,Sizing!$D$15,10^9),MAX(1,CEILING(Inputs!$D$12/(Sizing!$D$12*B30),1))),1)</f>
        <v/>
      </c>
      <c r="D30" s="12">
        <f>IF(Inputs!$D$52,Inputs!$D$48+Inputs!$D$49*(1-POWER(1-Inputs!$D$50/Inputs!$D$51,C30)),Inputs!$D$37)</f>
        <v/>
      </c>
      <c r="E30" s="12">
        <f>IF(Inputs!$D$52,Inputs!$D$48+Inputs!$D$49*(1-POWER(1-Inputs!$D$50/Inputs!$D$51,C30+1)),Inputs!$D$37)</f>
        <v/>
      </c>
      <c r="F30" s="12">
        <f>IF(AND(Inputs!$D$28&gt;0,Inputs!$D$70&gt;0),Inputs!$D$70*Inputs!$D$28*10^9*Inputs!$D$63/(E30*10^9*Inputs!$D$54+C30*Sizing!$D$7*1024^3+Inputs!$D$72*1024^3),0)</f>
        <v/>
      </c>
      <c r="G30" s="12">
        <f>IF(Inputs!$D$65&gt;0,Inputs!$D$65,IF(Inputs!$D$69="continuous",IF(AND(Sizing!$D$30&lt;=0,F30&lt;=0),0,IF(F30&lt;=0,Sizing!$D$30,IF(Sizing!$D$30&lt;=0,F30,MIN(Sizing!$D$30,F30)))),Sizing!$D$29))</f>
        <v/>
      </c>
      <c r="H30" s="12">
        <f>IF(C30&gt;0,Sizing!$D$26*Inputs!$D$62/(Sizing!$D$25+4*Inputs!$D$38*Inputs!$D$91*(Inputs!$D$21+(Inputs!$D$22-1)/2))/C30,0)</f>
        <v/>
      </c>
      <c r="I30" s="12">
        <f>IF(Inputs!$D$28&gt;0,Inputs!$D$28*10^9*Inputs!$D$63/(D30*10^9*Inputs!$D$54+C30*Sizing!$D$7*1024^3+Inputs!$D$72*1024^3),0)</f>
        <v/>
      </c>
      <c r="J30" s="12">
        <f>IF(Inputs!$D$66&gt;0,Inputs!$D$66,IF(AND(H30&lt;=0,I30&lt;=0),0,IF(I30&lt;=0,H30,IF(H30&lt;=0,I30,MIN(H30,I30)))))*Inputs!$D$68</f>
        <v/>
      </c>
      <c r="K30" s="12">
        <f>IF(AND(G30&gt;0,J30&gt;0),C30/(Sizing!$D$27/G30+Inputs!$D$22/J30),0)</f>
        <v/>
      </c>
      <c r="L30" s="12">
        <f>Sizing!$D$12*K30</f>
        <v/>
      </c>
      <c r="M30" s="12">
        <f>IF(L30&gt;0,CEILING(Inputs!$D$12*Inputs!$D$89*Inputs!$D$76/L30,1),0)</f>
        <v/>
      </c>
      <c r="N30" s="12">
        <f>MAX(Sizing!$D$22,M30)</f>
        <v/>
      </c>
      <c r="O30" s="12">
        <f>N30=B30</f>
        <v/>
      </c>
    </row>
    <row r="32">
      <c r="A32" s="5" t="inlineStr">
        <is>
          <t>Итоговые состояния</t>
        </is>
      </c>
    </row>
    <row r="33">
      <c r="A33" s="8" t="inlineStr">
        <is>
          <t>S* (сошедшееся)</t>
        </is>
      </c>
      <c r="B33" s="12">
        <f>IF(B28="converged",INDEX(B6:B25,B29),IF(B28="oscillating",B30,MAX(B30,N30)))</f>
        <v/>
      </c>
      <c r="C33" s="12">
        <f>IF(AND(Sizing!$D$12&gt;0,B33&gt;0),MIN(IF(Sizing!$D$15&gt;0,Sizing!$D$15,10^9),MAX(1,CEILING(Inputs!$D$12/(Sizing!$D$12*B33),1))),1)</f>
        <v/>
      </c>
      <c r="D33" s="12">
        <f>IF(Inputs!$D$52,Inputs!$D$48+Inputs!$D$49*(1-POWER(1-Inputs!$D$50/Inputs!$D$51,C33)),Inputs!$D$37)</f>
        <v/>
      </c>
      <c r="E33" s="12">
        <f>IF(Inputs!$D$52,Inputs!$D$48+Inputs!$D$49*(1-POWER(1-Inputs!$D$50/Inputs!$D$51,C33+1)),Inputs!$D$37)</f>
        <v/>
      </c>
      <c r="F33" s="12">
        <f>IF(AND(Inputs!$D$28&gt;0,Inputs!$D$70&gt;0),Inputs!$D$70*Inputs!$D$28*10^9*Inputs!$D$63/(E33*10^9*Inputs!$D$54+C33*Sizing!$D$7*1024^3+Inputs!$D$72*1024^3),0)</f>
        <v/>
      </c>
      <c r="G33" s="12">
        <f>IF(Inputs!$D$65&gt;0,Inputs!$D$65,IF(Inputs!$D$69="continuous",IF(AND(Sizing!$D$30&lt;=0,F33&lt;=0),0,IF(F33&lt;=0,Sizing!$D$30,IF(Sizing!$D$30&lt;=0,F33,MIN(Sizing!$D$30,F33)))),Sizing!$D$29))</f>
        <v/>
      </c>
      <c r="H33" s="12">
        <f>IF(C33&gt;0,Sizing!$D$26*Inputs!$D$62/(Sizing!$D$25+4*Inputs!$D$38*Inputs!$D$91*(Inputs!$D$21+(Inputs!$D$22-1)/2))/C33,0)</f>
        <v/>
      </c>
      <c r="I33" s="12">
        <f>IF(Inputs!$D$28&gt;0,Inputs!$D$28*10^9*Inputs!$D$63/(D33*10^9*Inputs!$D$54+C33*Sizing!$D$7*1024^3+Inputs!$D$72*1024^3),0)</f>
        <v/>
      </c>
      <c r="J33" s="12">
        <f>IF(Inputs!$D$66&gt;0,Inputs!$D$66,IF(AND(H33&lt;=0,I33&lt;=0),0,IF(I33&lt;=0,H33,IF(H33&lt;=0,I33,MIN(H33,I33)))))*Inputs!$D$68</f>
        <v/>
      </c>
      <c r="K33" s="12">
        <f>IF(AND(G33&gt;0,J33&gt;0),C33/(Sizing!$D$27/G33+Inputs!$D$22/J33),0)</f>
        <v/>
      </c>
      <c r="L33" s="12">
        <f>Sizing!$D$12*K33</f>
        <v/>
      </c>
      <c r="M33" s="12">
        <f>IF(L33&gt;0,CEILING(Inputs!$D$12*Inputs!$D$89*Inputs!$D$76/L33,1),0)</f>
        <v/>
      </c>
      <c r="N33" s="12">
        <f>MAX(Sizing!$D$22,M33)</f>
        <v/>
      </c>
      <c r="O33" s="12">
        <f>N33=B33</f>
        <v/>
      </c>
    </row>
    <row r="34">
      <c r="A34" s="8" t="inlineStr">
        <is>
          <t>BS = 1 (ненагруженный)</t>
        </is>
      </c>
      <c r="B34" s="12">
        <f>B33</f>
        <v/>
      </c>
      <c r="C34" s="12">
        <f>1</f>
        <v/>
      </c>
      <c r="D34" s="12">
        <f>IF(Inputs!$D$52,Inputs!$D$48+Inputs!$D$49*(1-POWER(1-Inputs!$D$50/Inputs!$D$51,C34)),Inputs!$D$37)</f>
        <v/>
      </c>
      <c r="E34" s="12">
        <f>IF(Inputs!$D$52,Inputs!$D$48+Inputs!$D$49*(1-POWER(1-Inputs!$D$50/Inputs!$D$51,C34+1)),Inputs!$D$37)</f>
        <v/>
      </c>
      <c r="F34" s="12">
        <f>IF(AND(Inputs!$D$28&gt;0,Inputs!$D$70&gt;0),Inputs!$D$70*Inputs!$D$28*10^9*Inputs!$D$63/(E34*10^9*Inputs!$D$54+C34*Sizing!$D$7*1024^3+Inputs!$D$72*1024^3),0)</f>
        <v/>
      </c>
      <c r="G34" s="12">
        <f>IF(Inputs!$D$65&gt;0,Inputs!$D$65,IF(Inputs!$D$69="continuous",IF(AND(Sizing!$D$30&lt;=0,F34&lt;=0),0,IF(F34&lt;=0,Sizing!$D$30,IF(Sizing!$D$30&lt;=0,F34,MIN(Sizing!$D$30,F34)))),Sizing!$D$29))</f>
        <v/>
      </c>
      <c r="H34" s="12">
        <f>IF(C34&gt;0,Sizing!$D$26*Inputs!$D$62/(Sizing!$D$25+4*Inputs!$D$38*Inputs!$D$91*(Inputs!$D$21+(Inputs!$D$22-1)/2))/C34,0)</f>
        <v/>
      </c>
      <c r="I34" s="12">
        <f>IF(Inputs!$D$28&gt;0,Inputs!$D$28*10^9*Inputs!$D$63/(D34*10^9*Inputs!$D$54+C34*Sizing!$D$7*1024^3+Inputs!$D$72*1024^3),0)</f>
        <v/>
      </c>
      <c r="J34" s="12">
        <f>IF(Inputs!$D$66&gt;0,Inputs!$D$66,IF(AND(H34&lt;=0,I34&lt;=0),0,IF(I34&lt;=0,H34,IF(H34&lt;=0,I34,MIN(H34,I34)))))*Inputs!$D$68</f>
        <v/>
      </c>
      <c r="K34" s="12">
        <f>IF(AND(G34&gt;0,J34&gt;0),C34/(Sizing!$D$27/G34+Inputs!$D$22/J34),0)</f>
        <v/>
      </c>
      <c r="L34" s="12">
        <f>Sizing!$D$12*K34</f>
        <v/>
      </c>
      <c r="M34" s="12">
        <f>IF(L34&gt;0,CEILING(Inputs!$D$12*Inputs!$D$89*Inputs!$D$76/L34,1),0)</f>
        <v/>
      </c>
      <c r="N34" s="12">
        <f>MAX(Sizing!$D$22,M34)</f>
        <v/>
      </c>
      <c r="O34" s="12">
        <f>N34=B34</f>
        <v/>
      </c>
    </row>
    <row r="35">
      <c r="A35" s="8" t="inlineStr">
        <is>
          <t>Servers_final (с override)</t>
        </is>
      </c>
      <c r="B35" s="12">
        <f>Sizing!$D$68</f>
        <v/>
      </c>
      <c r="C35" s="12">
        <f>IF(AND(Sizing!$D$12&gt;0,B35&gt;0),MIN(IF(Sizing!$D$15&gt;0,Sizing!$D$15,10^9),MAX(1,CEILING(Inputs!$D$12/(Sizing!$D$12*B35),1))),1)</f>
        <v/>
      </c>
      <c r="D35" s="12">
        <f>IF(Inputs!$D$52,Inputs!$D$48+Inputs!$D$49*(1-POWER(1-Inputs!$D$50/Inputs!$D$51,C35)),Inputs!$D$37)</f>
        <v/>
      </c>
      <c r="E35" s="12">
        <f>IF(Inputs!$D$52,Inputs!$D$48+Inputs!$D$49*(1-POWER(1-Inputs!$D$50/Inputs!$D$51,C35+1)),Inputs!$D$37)</f>
        <v/>
      </c>
      <c r="F35" s="12">
        <f>IF(AND(Inputs!$D$28&gt;0,Inputs!$D$70&gt;0),Inputs!$D$70*Inputs!$D$28*10^9*Inputs!$D$63/(E35*10^9*Inputs!$D$54+C35*Sizing!$D$7*1024^3+Inputs!$D$72*1024^3),0)</f>
        <v/>
      </c>
      <c r="G35" s="12">
        <f>IF(Inputs!$D$65&gt;0,Inputs!$D$65,IF(Inputs!$D$69="continuous",IF(AND(Sizing!$D$30&lt;=0,F35&lt;=0),0,IF(F35&lt;=0,Sizing!$D$30,IF(Sizing!$D$30&lt;=0,F35,MIN(Sizing!$D$30,F35)))),Sizing!$D$29))</f>
        <v/>
      </c>
      <c r="H35" s="12">
        <f>IF(C35&gt;0,Sizing!$D$26*Inputs!$D$62/(Sizing!$D$25+4*Inputs!$D$38*Inputs!$D$91*(Inputs!$D$21+(Inputs!$D$22-1)/2))/C35,0)</f>
        <v/>
      </c>
      <c r="I35" s="12">
        <f>IF(Inputs!$D$28&gt;0,Inputs!$D$28*10^9*Inputs!$D$63/(D35*10^9*Inputs!$D$54+C35*Sizing!$D$7*1024^3+Inputs!$D$72*1024^3),0)</f>
        <v/>
      </c>
      <c r="J35" s="12">
        <f>IF(Inputs!$D$66&gt;0,Inputs!$D$66,IF(AND(H35&lt;=0,I35&lt;=0),0,IF(I35&lt;=0,H35,IF(H35&lt;=0,I35,MIN(H35,I35)))))*Inputs!$D$68</f>
        <v/>
      </c>
      <c r="K35" s="12">
        <f>IF(AND(G35&gt;0,J35&gt;0),C35/(Sizing!$D$27/G35+Inputs!$D$22/J35),0)</f>
        <v/>
      </c>
      <c r="L35" s="12">
        <f>Sizing!$D$12*K35</f>
        <v/>
      </c>
      <c r="M35" s="12">
        <f>IF(L35&gt;0,CEILING(Inputs!$D$12*Inputs!$D$89*Inputs!$D$76/L35,1),0)</f>
        <v/>
      </c>
      <c r="N35" s="12">
        <f>MAX(Sizing!$D$22,M35)</f>
        <v/>
      </c>
      <c r="O35" s="12">
        <f>N35=B35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74"/>
  <sheetViews>
    <sheetView workbookViewId="0">
      <selection activeCell="A1" sqref="A1"/>
    </sheetView>
  </sheetViews>
  <sheetFormatPr baseColWidth="8" defaultRowHeight="15"/>
  <cols>
    <col width="48" customWidth="1" min="1" max="1"/>
    <col width="62" customWidth="1" min="2" max="2"/>
    <col width="11" customWidth="1" min="3" max="3"/>
    <col width="18" customWidth="1" min="4" max="4"/>
    <col width="10" customWidth="1" min="5" max="5"/>
  </cols>
  <sheetData>
    <row r="1">
      <c r="A1" s="1" t="inlineStr">
        <is>
          <t>Агентные архитектуры — учёт K_calls, RAG, tool-use (Прил. В)</t>
        </is>
      </c>
    </row>
    <row r="2">
      <c r="A2" s="2" t="inlineStr">
        <is>
          <t>Ввод (INPUT)</t>
        </is>
      </c>
      <c r="B2" s="3" t="inlineStr">
        <is>
          <t>Расчёт / Итог (bold)</t>
        </is>
      </c>
      <c r="C2" s="4" t="inlineStr">
        <is>
          <t>→ перенос в Inputs</t>
        </is>
      </c>
    </row>
    <row r="3"/>
    <row r="4">
      <c r="A4" s="4" t="inlineStr">
        <is>
          <t>Расширение базовой токеновой модели для агентных сценариев (ReAct, RAG, CoT, multi-agent). Лист рассчитывает ЭФФЕКТИВНЫЕ параметры при K_calls &gt; 1.</t>
        </is>
      </c>
    </row>
    <row r="5">
      <c r="A5" s="5" t="inlineStr">
        <is>
          <t>📋 Как пользоваться этим листом</t>
        </is>
      </c>
      <c r="B5" s="6" t="n"/>
      <c r="C5" s="6" t="n"/>
      <c r="D5" s="6" t="n"/>
      <c r="E5" s="7" t="n"/>
    </row>
    <row r="6">
      <c r="A6" s="4" t="inlineStr">
        <is>
          <t>1. Заполните 5 синих (INPUT) ячеек ниже — параметры агентной архитектуры.</t>
        </is>
      </c>
    </row>
    <row r="7">
      <c r="A7" s="4" t="inlineStr">
        <is>
          <t>2. Калькулятор вычислит ЭФФЕКТИВНЫЕ значения SP_eff, Prp_eff, A_eff, MRT_eff, R_eff.</t>
        </is>
      </c>
    </row>
    <row r="8">
      <c r="A8" s="4" t="inlineStr">
        <is>
          <t>3. Перенесите 5 ЭФФЕКТИВНЫХ значений обратно в Inputs (заменят исходные):</t>
        </is>
      </c>
    </row>
    <row r="9">
      <c r="A9" s="4" t="inlineStr">
        <is>
          <t xml:space="preserve">   • SP_eff   → Inputs!SP   (системный промпт, увеличенный на SP_tools)</t>
        </is>
      </c>
    </row>
    <row r="10">
      <c r="A10" s="4" t="inlineStr">
        <is>
          <t xml:space="preserve">   • Prp_eff  → Inputs!Prp  (запрос, увеличенный на C_rag)</t>
        </is>
      </c>
    </row>
    <row r="11">
      <c r="A11" s="4" t="inlineStr">
        <is>
          <t xml:space="preserve">   • A_eff    → Inputs!A    (ответ, увеличенный на A_tool)</t>
        </is>
      </c>
    </row>
    <row r="12">
      <c r="A12" s="4" t="inlineStr">
        <is>
          <t xml:space="preserve">   • MRT_eff  → Inputs!MRT  (reasoning — max(MRT, reason_MRT))</t>
        </is>
      </c>
    </row>
    <row r="13">
      <c r="A13" s="4" t="inlineStr">
        <is>
          <t xml:space="preserve">   • R_eff    → Inputs!R    (частота запросов, умноженная на K_calls)</t>
        </is>
      </c>
    </row>
    <row r="14">
      <c r="A14" s="4" t="inlineStr">
        <is>
          <t>4. Пересчитайте сайзинг — учёт агентной нагрузки применится автоматически:</t>
        </is>
      </c>
    </row>
    <row r="15">
      <c r="A15" s="4" t="inlineStr">
        <is>
          <t xml:space="preserve">   SL_raw = SP_eff + N_prp · (Prp_eff + MRT_eff + A_eff) вычислится на листе Inputs.</t>
        </is>
      </c>
    </row>
    <row r="16">
      <c r="A16" s="4" t="inlineStr"/>
    </row>
    <row r="17">
      <c r="A17" s="4" t="inlineStr">
        <is>
          <t>💡 Single-turn (K_calls=1, SP_tools=0, C_rag=0, A_tool=0, reason_MRT=0):</t>
        </is>
      </c>
    </row>
    <row r="18">
      <c r="A18" s="4" t="inlineStr">
        <is>
          <t xml:space="preserve">   эффективные значения = исходные, сайзинг не меняется.</t>
        </is>
      </c>
    </row>
    <row r="19">
      <c r="A19" s="4" t="inlineStr">
        <is>
          <t>💡 TS_agent и SL_peak показаны СПРАВОЧНО — не переносятся в Inputs напрямую.</t>
        </is>
      </c>
    </row>
    <row r="20">
      <c r="A20" s="4" t="inlineStr">
        <is>
          <t xml:space="preserve">   Основной сайзинг использует SL_raw = f(SP_eff, Prp_eff, A_eff, MRT_eff, N_prp).</t>
        </is>
      </c>
    </row>
    <row r="21"/>
    <row r="22">
      <c r="A22" s="5" t="inlineStr">
        <is>
          <t>Архитектурный паттерн (Приложение В.6)</t>
        </is>
      </c>
      <c r="B22" s="6" t="n"/>
      <c r="C22" s="6" t="n"/>
      <c r="D22" s="6" t="n"/>
      <c r="E22" s="7" t="n"/>
    </row>
    <row r="23">
      <c r="A23" s="8" t="inlineStr">
        <is>
          <t>K_calls (LLM-вызовов на запрос)</t>
        </is>
      </c>
      <c r="B23" s="4" t="inlineStr">
        <is>
          <t>Single-turn=1; RAG=1-2; ReAct=3-10; Multi-agent=6-20+</t>
        </is>
      </c>
      <c r="C23" s="4" t="inlineStr">
        <is>
          <t>INPUT</t>
        </is>
      </c>
      <c r="D23" s="20" t="n">
        <v>1</v>
      </c>
      <c r="E23" s="4" t="inlineStr">
        <is>
          <t>pcs</t>
        </is>
      </c>
    </row>
    <row r="24">
      <c r="A24" s="8" t="inlineStr">
        <is>
          <t>SP_tools (токенов на tool definitions)</t>
        </is>
      </c>
      <c r="B24" s="4" t="inlineStr">
        <is>
          <t>0-500 для простых; 500-2000 для ReAct; 1-3K для coding-agent</t>
        </is>
      </c>
      <c r="C24" s="4" t="inlineStr">
        <is>
          <t>INPUT</t>
        </is>
      </c>
      <c r="D24" s="20" t="n">
        <v>0</v>
      </c>
      <c r="E24" s="4" t="inlineStr">
        <is>
          <t>tokens</t>
        </is>
      </c>
    </row>
    <row r="25">
      <c r="A25" s="8" t="inlineStr">
        <is>
          <t>C_rag (токенов RAG-контекста на вызов)</t>
        </is>
      </c>
      <c r="B25" s="4" t="inlineStr">
        <is>
          <t>0; RAG: 1-5K; Agentic RAG: 1-5K × N_поисков</t>
        </is>
      </c>
      <c r="C25" s="4" t="inlineStr">
        <is>
          <t>INPUT</t>
        </is>
      </c>
      <c r="D25" s="20" t="n">
        <v>0</v>
      </c>
      <c r="E25" s="4" t="inlineStr">
        <is>
          <t>tokens</t>
        </is>
      </c>
    </row>
    <row r="26">
      <c r="A26" s="8" t="inlineStr">
        <is>
          <t>A_tool (токенов tool_call JSON в ответе)</t>
        </is>
      </c>
      <c r="B26" s="4" t="inlineStr">
        <is>
          <t>50-200 для function-calling, 200-500 для coding</t>
        </is>
      </c>
      <c r="C26" s="4" t="inlineStr">
        <is>
          <t>INPUT</t>
        </is>
      </c>
      <c r="D26" s="20" t="n">
        <v>0</v>
      </c>
      <c r="E26" s="4" t="inlineStr">
        <is>
          <t>tokens</t>
        </is>
      </c>
    </row>
    <row r="27">
      <c r="A27" s="8" t="inlineStr">
        <is>
          <t>MRT для reasoning-моделей</t>
        </is>
      </c>
      <c r="B27" s="4" t="inlineStr">
        <is>
          <t>o1/R1: 8-25K thinking tokens на запрос</t>
        </is>
      </c>
      <c r="C27" s="4" t="inlineStr">
        <is>
          <t>INPUT</t>
        </is>
      </c>
      <c r="D27" s="20" t="n">
        <v>0</v>
      </c>
      <c r="E27" s="4" t="inlineStr">
        <is>
          <t>tokens</t>
        </is>
      </c>
    </row>
    <row r="28"/>
    <row r="29">
      <c r="A29" s="5" t="inlineStr">
        <is>
          <t>Эффективные параметры (В.1-В.4)</t>
        </is>
      </c>
      <c r="B29" s="6" t="n"/>
      <c r="C29" s="6" t="n"/>
      <c r="D29" s="6" t="n"/>
      <c r="E29" s="7" t="n"/>
    </row>
    <row r="30">
      <c r="A30" s="8" t="inlineStr">
        <is>
          <t>SP_eff = SP + SP_tools</t>
        </is>
      </c>
      <c r="B30" s="4" t="inlineStr">
        <is>
          <t>Увеличенный системный промпт</t>
        </is>
      </c>
      <c r="C30" s="4" t="inlineStr">
        <is>
          <t>calc</t>
        </is>
      </c>
      <c r="D30" s="12">
        <f>Inputs!D15+D24</f>
        <v/>
      </c>
      <c r="E30" s="4" t="inlineStr">
        <is>
          <t>tokens</t>
        </is>
      </c>
    </row>
    <row r="31">
      <c r="A31" s="8" t="inlineStr">
        <is>
          <t>Prp_eff = Prp + C_rag</t>
        </is>
      </c>
      <c r="B31" s="4" t="inlineStr">
        <is>
          <t>Запрос с RAG-контекстом</t>
        </is>
      </c>
      <c r="C31" s="4" t="inlineStr">
        <is>
          <t>calc</t>
        </is>
      </c>
      <c r="D31" s="12">
        <f>Inputs!D16+D25</f>
        <v/>
      </c>
      <c r="E31" s="4" t="inlineStr">
        <is>
          <t>tokens</t>
        </is>
      </c>
    </row>
    <row r="32">
      <c r="A32" s="8" t="inlineStr">
        <is>
          <t>A_eff = A + A_tool</t>
        </is>
      </c>
      <c r="B32" s="4" t="inlineStr">
        <is>
          <t>Ответ с tool_call JSON</t>
        </is>
      </c>
      <c r="C32" s="4" t="inlineStr">
        <is>
          <t>calc</t>
        </is>
      </c>
      <c r="D32" s="12">
        <f>Inputs!D17+D26</f>
        <v/>
      </c>
      <c r="E32" s="4" t="inlineStr">
        <is>
          <t>tokens</t>
        </is>
      </c>
    </row>
    <row r="33">
      <c r="A33" s="8" t="inlineStr">
        <is>
          <t>MRT_eff = max(MRT, reason_MRT)</t>
        </is>
      </c>
      <c r="B33" s="4" t="inlineStr">
        <is>
          <t>Берётся больший из базового и reasoning</t>
        </is>
      </c>
      <c r="C33" s="4" t="inlineStr">
        <is>
          <t>calc</t>
        </is>
      </c>
      <c r="D33" s="12">
        <f>MAX(Inputs!D18,D27)</f>
        <v/>
      </c>
      <c r="E33" s="4" t="inlineStr">
        <is>
          <t>tokens</t>
        </is>
      </c>
    </row>
    <row r="34">
      <c r="A34" s="8" t="inlineStr">
        <is>
          <t>TS_agent (полная длина сессии, В.4)</t>
        </is>
      </c>
      <c r="B34" s="4" t="inlineStr">
        <is>
          <t>TS = SL_pf^raw + T_dec (Inputs!D20, §2.2)</t>
        </is>
      </c>
      <c r="C34" s="4" t="inlineStr">
        <is>
          <t>calc</t>
        </is>
      </c>
      <c r="D34" s="17">
        <f>Inputs!D20</f>
        <v/>
      </c>
      <c r="E34" s="4" t="inlineStr">
        <is>
          <t>tokens</t>
        </is>
      </c>
    </row>
    <row r="35">
      <c r="A35" s="8" t="inlineStr">
        <is>
          <t>SL_peak (пик ОДНОГО вызова — для KV)</t>
        </is>
      </c>
      <c r="B35" s="4" t="inlineStr">
        <is>
          <t>SL_pf после окна (Inputs!D21)</t>
        </is>
      </c>
      <c r="C35" s="4" t="inlineStr">
        <is>
          <t>calc</t>
        </is>
      </c>
      <c r="D35" s="17">
        <f>Inputs!D21</f>
        <v/>
      </c>
      <c r="E35" s="4" t="inlineStr">
        <is>
          <t>tokens</t>
        </is>
      </c>
    </row>
    <row r="36">
      <c r="A36" s="8" t="inlineStr">
        <is>
          <t>T_in_total (совокупные токены за n вызовов)</t>
        </is>
      </c>
      <c r="B36" s="4" t="inlineStr">
        <is>
          <t>n·C_sys + n(n-1)/2·s — для биллинга, не для KV</t>
        </is>
      </c>
      <c r="C36" s="4" t="inlineStr">
        <is>
          <t>calc</t>
        </is>
      </c>
      <c r="D36" s="12">
        <f>D23*D30+D23*(D23-1)/2*D32</f>
        <v/>
      </c>
      <c r="E36" s="4" t="inlineStr">
        <is>
          <t>tokens</t>
        </is>
      </c>
    </row>
    <row r="37"/>
    <row r="38">
      <c r="A38" s="5" t="inlineStr">
        <is>
          <t>🎯 Куда применить: 5 значений для переноса в Inputs</t>
        </is>
      </c>
      <c r="B38" s="6" t="n"/>
      <c r="C38" s="6" t="n"/>
      <c r="D38" s="6" t="n"/>
      <c r="E38" s="7" t="n"/>
    </row>
    <row r="39">
      <c r="A39" s="8" t="inlineStr">
        <is>
          <t>SP_eff → перенести в Inputs!SP</t>
        </is>
      </c>
      <c r="B39" s="4" t="inlineStr">
        <is>
          <t>Учитывается автоматически в Inputs (блок 2.3): D15+SP_tools</t>
        </is>
      </c>
      <c r="C39" s="4" t="inlineStr">
        <is>
          <t>calc</t>
        </is>
      </c>
      <c r="D39" s="17">
        <f>D30</f>
        <v/>
      </c>
      <c r="E39" s="4" t="inlineStr">
        <is>
          <t>tokens</t>
        </is>
      </c>
    </row>
    <row r="40">
      <c r="A40" s="8" t="inlineStr">
        <is>
          <t>Prp_eff → перенести в Inputs!Prp</t>
        </is>
      </c>
      <c r="B40" s="4" t="inlineStr">
        <is>
          <t>Учитывается автоматически в Inputs (блок 2.3): D16+C_rag</t>
        </is>
      </c>
      <c r="C40" s="4" t="inlineStr">
        <is>
          <t>calc</t>
        </is>
      </c>
      <c r="D40" s="17">
        <f>D31</f>
        <v/>
      </c>
      <c r="E40" s="4" t="inlineStr">
        <is>
          <t>tokens</t>
        </is>
      </c>
    </row>
    <row r="41">
      <c r="A41" s="8" t="inlineStr">
        <is>
          <t>A_eff → перенести в Inputs!A</t>
        </is>
      </c>
      <c r="B41" s="4" t="inlineStr">
        <is>
          <t>Учитывается автоматически в Inputs (блок 2.3): D17+A_tool</t>
        </is>
      </c>
      <c r="C41" s="4" t="inlineStr">
        <is>
          <t>calc</t>
        </is>
      </c>
      <c r="D41" s="17">
        <f>D32</f>
        <v/>
      </c>
      <c r="E41" s="4" t="inlineStr">
        <is>
          <t>tokens</t>
        </is>
      </c>
    </row>
    <row r="42">
      <c r="A42" s="8" t="inlineStr">
        <is>
          <t>MRT_eff → перенести в Inputs!MRT</t>
        </is>
      </c>
      <c r="B42" s="4" t="inlineStr">
        <is>
          <t>Учитывается автоматически в Inputs (блок 2.3): MRT</t>
        </is>
      </c>
      <c r="C42" s="4" t="inlineStr">
        <is>
          <t>calc</t>
        </is>
      </c>
      <c r="D42" s="17">
        <f>D33</f>
        <v/>
      </c>
      <c r="E42" s="4" t="inlineStr">
        <is>
          <t>tokens</t>
        </is>
      </c>
    </row>
    <row r="43">
      <c r="A43" s="8" t="inlineStr">
        <is>
          <t>R_eff → перенести в Inputs!R</t>
        </is>
      </c>
      <c r="B43" s="4" t="inlineStr">
        <is>
          <t>R_eff = R · K_calls — учитывается автоматически (Inputs!D89)</t>
        </is>
      </c>
      <c r="C43" s="4" t="inlineStr">
        <is>
          <t>calc</t>
        </is>
      </c>
      <c r="D43" s="35">
        <f>Inputs!D75*D23</f>
        <v/>
      </c>
      <c r="E43" s="4" t="inlineStr">
        <is>
          <t>req/s</t>
        </is>
      </c>
    </row>
    <row r="44"/>
    <row r="45">
      <c r="A45" s="5" t="inlineStr">
        <is>
          <t>📎 Справочно (не переносится в Inputs)</t>
        </is>
      </c>
      <c r="B45" s="6" t="n"/>
      <c r="C45" s="6" t="n"/>
      <c r="D45" s="6" t="n"/>
      <c r="E45" s="7" t="n"/>
    </row>
    <row r="46">
      <c r="A46" s="8" t="inlineStr">
        <is>
          <t>SL_peak (пик контекста одного вызова)</t>
        </is>
      </c>
      <c r="B46" s="4" t="inlineStr">
        <is>
          <t>SL_pf после окна, учитывается автоматически</t>
        </is>
      </c>
      <c r="C46" s="4" t="inlineStr">
        <is>
          <t>calc</t>
        </is>
      </c>
      <c r="D46" s="12">
        <f>Inputs!D21</f>
        <v/>
      </c>
      <c r="E46" s="4" t="inlineStr">
        <is>
          <t>tokens</t>
        </is>
      </c>
    </row>
    <row r="47">
      <c r="A47" s="8" t="inlineStr">
        <is>
          <t>TS_agent (полная длина сессии)</t>
        </is>
      </c>
      <c r="B47" s="4" t="inlineStr">
        <is>
          <t>Оценка стоимости сессии — для биллинга и capacity planning</t>
        </is>
      </c>
      <c r="C47" s="4" t="inlineStr">
        <is>
          <t>calc</t>
        </is>
      </c>
      <c r="D47" s="12">
        <f>D34</f>
        <v/>
      </c>
      <c r="E47" s="4" t="inlineStr">
        <is>
          <t>tokens</t>
        </is>
      </c>
    </row>
    <row r="48">
      <c r="A48" s="4" t="inlineStr">
        <is>
          <t>⚠️ ВАЖНО: пока вы не перенесёте 5 значений (SP_eff, Prp_eff, A_eff, MRT_eff, R_eff) в Inputs, основной расчёт НЕ учитывает агентную нагрузку!</t>
        </is>
      </c>
    </row>
    <row r="49"/>
    <row r="50">
      <c r="A50" s="5" t="inlineStr">
        <is>
          <t>Пример применения</t>
        </is>
      </c>
      <c r="B50" s="6" t="n"/>
      <c r="C50" s="6" t="n"/>
      <c r="D50" s="6" t="n"/>
      <c r="E50" s="7" t="n"/>
    </row>
    <row r="51">
      <c r="A51" s="4" t="inlineStr">
        <is>
          <t>Допустим, у вас ReAct-агент: K_calls=5, SP_tools=1500, C_rag=2000, A_tool=150, reason_MRT=0.</t>
        </is>
      </c>
    </row>
    <row r="52">
      <c r="A52" s="4" t="inlineStr">
        <is>
          <t>Лист рассчитает: SP_eff=2500, Prp_eff=2200, A_eff=550, MRT_eff=0, R_eff=R·5.</t>
        </is>
      </c>
    </row>
    <row r="53">
      <c r="A53" s="4" t="inlineStr">
        <is>
          <t>Перенесите все 5 значений в Inputs (замените исходные):</t>
        </is>
      </c>
    </row>
    <row r="54">
      <c r="A54" s="4" t="inlineStr">
        <is>
          <t xml:space="preserve">  1. Inputs!SP:  1000 → 2500 (= SP_eff)</t>
        </is>
      </c>
    </row>
    <row r="55">
      <c r="A55" s="4" t="inlineStr">
        <is>
          <t xml:space="preserve">  2. Inputs!Prp:  200 → 2200 (= Prp_eff)</t>
        </is>
      </c>
    </row>
    <row r="56">
      <c r="A56" s="4" t="inlineStr">
        <is>
          <t xml:space="preserve">  3. Inputs!A:    400 → 550  (= A_eff)</t>
        </is>
      </c>
    </row>
    <row r="57">
      <c r="A57" s="4" t="inlineStr">
        <is>
          <t xml:space="preserve">  4. Inputs!MRT:    0 → 0    (= MRT_eff, без изменений в этом примере)</t>
        </is>
      </c>
    </row>
    <row r="58">
      <c r="A58" s="4" t="inlineStr">
        <is>
          <t xml:space="preserve">  5. Inputs!R:   0.02 → 0.10 (= R_eff = 0.02 · 5)</t>
        </is>
      </c>
    </row>
    <row r="59">
      <c r="A59" s="4" t="inlineStr">
        <is>
          <t>После этого SL_raw автоматически пересчитается = 2500 + 5·(2200+0+550) = 16250 токенов,</t>
        </is>
      </c>
    </row>
    <row r="60">
      <c r="A60" s="4" t="inlineStr">
        <is>
          <t>и основной сайзинг учтёт рост KV-кэша и compute-нагрузки.</t>
        </is>
      </c>
    </row>
    <row r="61"/>
    <row r="62">
      <c r="A62" s="5" t="inlineStr">
        <is>
          <t>Справка: типовые паттерны (Таблица В.1)</t>
        </is>
      </c>
      <c r="B62" s="6" t="n"/>
      <c r="C62" s="6" t="n"/>
      <c r="D62" s="6" t="n"/>
      <c r="E62" s="7" t="n"/>
    </row>
    <row r="63">
      <c r="A63" s="5" t="inlineStr">
        <is>
          <t>Паттерн</t>
        </is>
      </c>
      <c r="B63" s="5" t="inlineStr">
        <is>
          <t>K_calls</t>
        </is>
      </c>
      <c r="C63" s="5" t="inlineStr">
        <is>
          <t>SP_tools</t>
        </is>
      </c>
      <c r="D63" s="5" t="inlineStr">
        <is>
          <t>C_rag</t>
        </is>
      </c>
      <c r="E63" s="5" t="inlineStr">
        <is>
          <t>A_tool</t>
        </is>
      </c>
    </row>
    <row r="64">
      <c r="A64" s="8" t="inlineStr">
        <is>
          <t>Single-turn чат</t>
        </is>
      </c>
      <c r="B64" s="8" t="inlineStr">
        <is>
          <t>1</t>
        </is>
      </c>
      <c r="C64" s="8" t="inlineStr">
        <is>
          <t>0</t>
        </is>
      </c>
      <c r="D64" s="8" t="inlineStr">
        <is>
          <t>0</t>
        </is>
      </c>
      <c r="E64" s="8" t="inlineStr">
        <is>
          <t>0</t>
        </is>
      </c>
    </row>
    <row r="65">
      <c r="A65" s="8" t="inlineStr">
        <is>
          <t>RAG</t>
        </is>
      </c>
      <c r="B65" s="8" t="inlineStr">
        <is>
          <t>1–2</t>
        </is>
      </c>
      <c r="C65" s="8" t="inlineStr">
        <is>
          <t>0–200</t>
        </is>
      </c>
      <c r="D65" s="8" t="inlineStr">
        <is>
          <t>1–5K</t>
        </is>
      </c>
      <c r="E65" s="8" t="inlineStr">
        <is>
          <t>0</t>
        </is>
      </c>
    </row>
    <row r="66">
      <c r="A66" s="8" t="inlineStr">
        <is>
          <t>Agentic RAG</t>
        </is>
      </c>
      <c r="B66" s="8" t="inlineStr">
        <is>
          <t>2–4</t>
        </is>
      </c>
      <c r="C66" s="8" t="inlineStr">
        <is>
          <t>0–200</t>
        </is>
      </c>
      <c r="D66" s="8" t="inlineStr">
        <is>
          <t>1–5K × N</t>
        </is>
      </c>
      <c r="E66" s="8" t="inlineStr">
        <is>
          <t>0</t>
        </is>
      </c>
    </row>
    <row r="67">
      <c r="A67" s="8" t="inlineStr">
        <is>
          <t>CoT</t>
        </is>
      </c>
      <c r="B67" s="8" t="inlineStr">
        <is>
          <t>1</t>
        </is>
      </c>
      <c r="C67" s="8" t="inlineStr">
        <is>
          <t>0</t>
        </is>
      </c>
      <c r="D67" s="8" t="inlineStr">
        <is>
          <t>0</t>
        </is>
      </c>
      <c r="E67" s="8" t="inlineStr">
        <is>
          <t>0</t>
        </is>
      </c>
    </row>
    <row r="68">
      <c r="A68" s="8" t="inlineStr">
        <is>
          <t>CoT-SC (p=5)</t>
        </is>
      </c>
      <c r="B68" s="8" t="inlineStr">
        <is>
          <t>5</t>
        </is>
      </c>
      <c r="C68" s="8" t="inlineStr">
        <is>
          <t>0</t>
        </is>
      </c>
      <c r="D68" s="8" t="inlineStr">
        <is>
          <t>0</t>
        </is>
      </c>
      <c r="E68" s="8" t="inlineStr">
        <is>
          <t>0</t>
        </is>
      </c>
    </row>
    <row r="69">
      <c r="A69" s="8" t="inlineStr">
        <is>
          <t>Reasoning-модели</t>
        </is>
      </c>
      <c r="B69" s="8" t="inlineStr">
        <is>
          <t>1</t>
        </is>
      </c>
      <c r="C69" s="8" t="inlineStr">
        <is>
          <t>0</t>
        </is>
      </c>
      <c r="D69" s="8" t="inlineStr">
        <is>
          <t>0</t>
        </is>
      </c>
      <c r="E69" s="8" t="inlineStr">
        <is>
          <t>0</t>
        </is>
      </c>
    </row>
    <row r="70">
      <c r="A70" s="8" t="inlineStr">
        <is>
          <t>Self-Refine</t>
        </is>
      </c>
      <c r="B70" s="8" t="inlineStr">
        <is>
          <t>5–7</t>
        </is>
      </c>
      <c r="C70" s="8" t="inlineStr">
        <is>
          <t>0</t>
        </is>
      </c>
      <c r="D70" s="8" t="inlineStr">
        <is>
          <t>0</t>
        </is>
      </c>
      <c r="E70" s="8" t="inlineStr">
        <is>
          <t>0</t>
        </is>
      </c>
    </row>
    <row r="71">
      <c r="A71" s="8" t="inlineStr">
        <is>
          <t>Function calling</t>
        </is>
      </c>
      <c r="B71" s="8" t="inlineStr">
        <is>
          <t>2–3</t>
        </is>
      </c>
      <c r="C71" s="8" t="inlineStr">
        <is>
          <t>300–500</t>
        </is>
      </c>
      <c r="D71" s="8" t="inlineStr">
        <is>
          <t>0</t>
        </is>
      </c>
      <c r="E71" s="8" t="inlineStr">
        <is>
          <t>100–200</t>
        </is>
      </c>
    </row>
    <row r="72">
      <c r="A72" s="8" t="inlineStr">
        <is>
          <t>ReAct-агент</t>
        </is>
      </c>
      <c r="B72" s="8" t="inlineStr">
        <is>
          <t>3–10</t>
        </is>
      </c>
      <c r="C72" s="8" t="inlineStr">
        <is>
          <t>500–2K</t>
        </is>
      </c>
      <c r="D72" s="8" t="inlineStr">
        <is>
          <t>0–3K</t>
        </is>
      </c>
      <c r="E72" s="8" t="inlineStr">
        <is>
          <t>100–200</t>
        </is>
      </c>
    </row>
    <row r="73">
      <c r="A73" s="8" t="inlineStr">
        <is>
          <t>Мультиагенты</t>
        </is>
      </c>
      <c r="B73" s="8" t="inlineStr">
        <is>
          <t>6–20+</t>
        </is>
      </c>
      <c r="C73" s="8" t="inlineStr">
        <is>
          <t>500–2K</t>
        </is>
      </c>
      <c r="D73" s="8" t="inlineStr">
        <is>
          <t>0–5K</t>
        </is>
      </c>
      <c r="E73" s="8" t="inlineStr">
        <is>
          <t>100–200</t>
        </is>
      </c>
    </row>
    <row r="74">
      <c r="A74" s="8" t="inlineStr">
        <is>
          <t>Coding-агент</t>
        </is>
      </c>
      <c r="B74" s="8" t="inlineStr">
        <is>
          <t>5–15</t>
        </is>
      </c>
      <c r="C74" s="8" t="inlineStr">
        <is>
          <t>1–3K</t>
        </is>
      </c>
      <c r="D74" s="8" t="inlineStr">
        <is>
          <t>2–10K</t>
        </is>
      </c>
      <c r="E74" s="8" t="inlineStr">
        <is>
          <t>200–500</t>
        </is>
      </c>
    </row>
  </sheetData>
  <mergeCells count="35">
    <mergeCell ref="A59:E59"/>
    <mergeCell ref="A48:E48"/>
    <mergeCell ref="A15:E15"/>
    <mergeCell ref="A60:E60"/>
    <mergeCell ref="A11:E11"/>
    <mergeCell ref="A51:E51"/>
    <mergeCell ref="A1:E1"/>
    <mergeCell ref="A45:E45"/>
    <mergeCell ref="A6:E6"/>
    <mergeCell ref="A16:E16"/>
    <mergeCell ref="A54:E54"/>
    <mergeCell ref="A7:E7"/>
    <mergeCell ref="A18:E18"/>
    <mergeCell ref="A56:E56"/>
    <mergeCell ref="A55:E55"/>
    <mergeCell ref="A12:E12"/>
    <mergeCell ref="A50:E50"/>
    <mergeCell ref="A57:E57"/>
    <mergeCell ref="A5:E5"/>
    <mergeCell ref="A14:E14"/>
    <mergeCell ref="A8:E8"/>
    <mergeCell ref="A22:E22"/>
    <mergeCell ref="A17:E17"/>
    <mergeCell ref="A53:E53"/>
    <mergeCell ref="A29:E29"/>
    <mergeCell ref="A4:E4"/>
    <mergeCell ref="A62:E62"/>
    <mergeCell ref="A20:E20"/>
    <mergeCell ref="A38:E38"/>
    <mergeCell ref="A52:E52"/>
    <mergeCell ref="A10:E10"/>
    <mergeCell ref="A19:E19"/>
    <mergeCell ref="A13:E13"/>
    <mergeCell ref="A58:E58"/>
    <mergeCell ref="A9:E9"/>
  </mergeCells>
  <printOptions horizontalCentered="1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40"/>
  <sheetViews>
    <sheetView workbookViewId="0">
      <selection activeCell="A1" sqref="A1"/>
    </sheetView>
  </sheetViews>
  <sheetFormatPr baseColWidth="8" defaultRowHeight="15"/>
  <cols>
    <col width="48" customWidth="1" min="1" max="1"/>
    <col width="60" customWidth="1" min="2" max="2"/>
    <col width="11" customWidth="1" min="3" max="3"/>
    <col width="70" customWidth="1" min="4" max="4"/>
    <col width="12" customWidth="1" min="5" max="5"/>
  </cols>
  <sheetData>
    <row r="1">
      <c r="A1" s="1" t="inlineStr">
        <is>
          <t>Калибровка η_mem, η_pf, η_dec — Приложение Е методики</t>
        </is>
      </c>
    </row>
    <row r="2">
      <c r="A2" s="2" t="inlineStr">
        <is>
          <t>Ввод (INPUT)</t>
        </is>
      </c>
      <c r="B2" s="3" t="inlineStr">
        <is>
          <t>Расчёт / Итог (bold)</t>
        </is>
      </c>
      <c r="C2" s="4" t="inlineStr">
        <is>
          <t>Проверка ✓/✗ — окрашивается по результату</t>
        </is>
      </c>
    </row>
    <row r="3"/>
    <row r="4">
      <c r="A4" s="4" t="inlineStr">
        <is>
          <t>Введите наблюдаемые значения пропускной способности из двух нагрузочных прогонов EvalScope (decode-heavy и prefill-heavy). Калькулятор вычислит калибровочные коэффициенты, которые можно использовать в Inputs.</t>
        </is>
      </c>
    </row>
    <row r="5"/>
    <row r="6">
      <c r="A6" s="5" t="inlineStr">
        <is>
          <t>Decode-heavy прогон (короткий prompt, длинный output)</t>
        </is>
      </c>
      <c r="B6" s="6" t="n"/>
      <c r="C6" s="6" t="n"/>
      <c r="D6" s="6" t="n"/>
      <c r="E6" s="7" t="n"/>
    </row>
    <row r="7">
      <c r="A7" s="8" t="inlineStr">
        <is>
          <t>BS (--parallel)</t>
        </is>
      </c>
      <c r="B7" s="4" t="inlineStr">
        <is>
          <t>Число параллельных сессий в прогоне</t>
        </is>
      </c>
      <c r="C7" s="4" t="inlineStr">
        <is>
          <t>INPUT</t>
        </is>
      </c>
      <c r="D7" s="20" t="n">
        <v>30</v>
      </c>
      <c r="E7" s="4" t="inlineStr">
        <is>
          <t>-</t>
        </is>
      </c>
    </row>
    <row r="8">
      <c r="A8" s="8" t="inlineStr">
        <is>
          <t>Th_dec^observed</t>
        </is>
      </c>
      <c r="B8" s="4" t="inlineStr">
        <is>
          <t>Output token throughput из EvalScope</t>
        </is>
      </c>
      <c r="C8" s="4" t="inlineStr">
        <is>
          <t>INPUT</t>
        </is>
      </c>
      <c r="D8" s="20" t="n">
        <v>2000</v>
      </c>
      <c r="E8" s="4" t="inlineStr">
        <is>
          <t>tok/s</t>
        </is>
      </c>
    </row>
    <row r="9">
      <c r="A9" s="8" t="inlineStr">
        <is>
          <t>SL прогона (средний prompt)</t>
        </is>
      </c>
      <c r="B9" s="4" t="inlineStr">
        <is>
          <t>min-prompt-length ≈ 400-600</t>
        </is>
      </c>
      <c r="C9" s="4" t="inlineStr">
        <is>
          <t>INPUT</t>
        </is>
      </c>
      <c r="D9" s="20" t="n">
        <v>500</v>
      </c>
      <c r="E9" s="4" t="inlineStr">
        <is>
          <t>tokens</t>
        </is>
      </c>
    </row>
    <row r="10">
      <c r="A10" s="8" t="inlineStr">
        <is>
          <t>T_dec прогона (средний output)</t>
        </is>
      </c>
      <c r="B10" s="4" t="inlineStr">
        <is>
          <t>min-tokens ≈ 300-400 для decode-heavy</t>
        </is>
      </c>
      <c r="C10" s="4" t="inlineStr">
        <is>
          <t>INPUT</t>
        </is>
      </c>
      <c r="D10" s="20" t="n">
        <v>400</v>
      </c>
      <c r="E10" s="4" t="inlineStr">
        <is>
          <t>tokens</t>
        </is>
      </c>
    </row>
    <row r="11">
      <c r="A11" s="8" t="inlineStr">
        <is>
          <t>M_KV для прогона (на сессию)</t>
        </is>
      </c>
      <c r="B11" s="4" t="inlineStr">
        <is>
          <t>M_KV под SL прогона = prompt + output; MLA: L·(r + rope)·SL·B_state</t>
        </is>
      </c>
      <c r="C11" s="4" t="inlineStr">
        <is>
          <t>calc</t>
        </is>
      </c>
      <c r="D11" s="10">
        <f>IF(Inputs!D47,Inputs!D38*(Inputs!D45+Inputs!D46)*(D9+D10)*Inputs!D55*Inputs!D57/1024^3,2*Inputs!D38*Inputs!D41*Inputs!D42*(D9+D10)*Inputs!D55*Inputs!D57/1024^3)</f>
        <v/>
      </c>
      <c r="E11" s="4" t="inlineStr">
        <is>
          <t>GiB</t>
        </is>
      </c>
    </row>
    <row r="12">
      <c r="A12" s="8" t="inlineStr">
        <is>
          <t>η_mem (выведено из прогона)</t>
        </is>
      </c>
      <c r="B12" s="4" t="inlineStr">
        <is>
          <t>Е.2: η_mem = Th₁/(N·BS) · (P_eff(BS)·10⁹·B_q + BS·M_KV·1024³ + O_fixed·1024³) / (BW·10⁹)</t>
        </is>
      </c>
      <c r="C12" s="4" t="inlineStr">
        <is>
          <t>calc</t>
        </is>
      </c>
      <c r="D12" s="25">
        <f>IF(AND(D7&gt;0,Inputs!D28&gt;0,Sizing!D12&gt;0),D8*(IF(Inputs!D52,(Inputs!D48+Inputs!D49*(1-POWER(1-Inputs!D50/Inputs!D51,D7))),Inputs!D37)*10^9*Inputs!D54+D7*D11*1024^3+Inputs!D72*1024^3)/(Inputs!D28*10^9*D7*Sizing!D12),0)</f>
        <v/>
      </c>
      <c r="E12" s="4" t="inlineStr">
        <is>
          <t>-</t>
        </is>
      </c>
    </row>
    <row r="13">
      <c r="A13" s="8" t="inlineStr">
        <is>
          <t>η_dec (выведено из прогона)</t>
        </is>
      </c>
      <c r="B13" s="4" t="inlineStr">
        <is>
          <t>Е.3: η_dec = Th_dec^obs · (FPS + 4·L·d_attn^dec·(SL + (T−1)/2)) / (F_count · N). Без множителя BS; валиден только при compute-bound decode.</t>
        </is>
      </c>
      <c r="C13" s="4" t="inlineStr">
        <is>
          <t>calc</t>
        </is>
      </c>
      <c r="D13" s="25">
        <f>IF(AND(Sizing!D26&gt;0,Sizing!D12&gt;0),D8*(Sizing!D25+4*Inputs!D38*Inputs!D91*(D9+(D10-1)/2))/(Sizing!D26*Sizing!D12),0)</f>
        <v/>
      </c>
      <c r="E13" s="4" t="inlineStr">
        <is>
          <t>-</t>
        </is>
      </c>
    </row>
    <row r="14">
      <c r="A14" s="8" t="inlineStr">
        <is>
          <t>Узкое место decode (по двум прогонам)</t>
        </is>
      </c>
      <c r="B14" s="4" t="inlineStr">
        <is>
          <t>Е.3: по одному прогону bottleneck не определяется. Сравните прогоны 1 и 2: aggregate Th_dec растёт ~∝ BS → memory-bound (калибруйте η_mem); почти не растёт → compute-bound (η_dec валиден).</t>
        </is>
      </c>
      <c r="C14" s="4" t="inlineStr">
        <is>
          <t>calc</t>
        </is>
      </c>
      <c r="D14" s="3">
        <f>IF(AND(D7&gt;0,D18&gt;0,D8&gt;0,D19&gt;0,D7&lt;&gt;D18),IF(LN(MAX(D8,D19)/MIN(D8,D19))/LN(MAX(D7,D18)/MIN(D7,D18))&gt;=0.5,"memory-bound: используйте η_mem; η_dec не калибруется","compute-bound: η_dec валиден"),"нужен второй прогон с другим BS")</f>
        <v/>
      </c>
      <c r="E14" s="4" t="inlineStr">
        <is>
          <t>status</t>
        </is>
      </c>
    </row>
    <row r="15"/>
    <row r="16">
      <c r="A16" s="5" t="inlineStr">
        <is>
          <t>Калибровка O_fixed (опц., 2-точечный прогон — для MoE / FP8)</t>
        </is>
      </c>
      <c r="B16" s="6" t="n"/>
      <c r="C16" s="6" t="n"/>
      <c r="D16" s="6" t="n"/>
      <c r="E16" s="7" t="n"/>
    </row>
    <row r="17">
      <c r="A17" s="4" t="inlineStr">
        <is>
          <t>Введите данные ВТОРОГО decode-heavy прогона (на другом BS, с теми же SL и T_dec, что и в верхнем прогоне). Формула решает систему 2-х уравнений и даёт O_fixed и η_core (оба параметра новой формулы §6.2 H-6). Для dense BF16 моделей обычно O_fixed ≈ 0 (nan тут же оставьте формулу неактивной). Для MoE + FP8 на H100 vLLM типично: O_fixed = 8-10 GB.</t>
        </is>
      </c>
    </row>
    <row r="18">
      <c r="A18" s="8" t="inlineStr">
        <is>
          <t>BS₂ (--parallel, 2-й прогон)</t>
        </is>
      </c>
      <c r="B18" s="4" t="inlineStr">
        <is>
          <t>Должен ЗНАЧИТЕЛЬНО отличаться от BS первого прогона (в 4-20× раз); SL и T_dec — те же.</t>
        </is>
      </c>
      <c r="C18" s="4" t="inlineStr">
        <is>
          <t>INPUT</t>
        </is>
      </c>
      <c r="D18" s="20" t="n">
        <v>1</v>
      </c>
      <c r="E18" s="4" t="inlineStr">
        <is>
          <t>-</t>
        </is>
      </c>
    </row>
    <row r="19">
      <c r="A19" s="8" t="inlineStr">
        <is>
          <t>Th_dec^observed (2-й прогон)</t>
        </is>
      </c>
      <c r="B19" s="4" t="inlineStr">
        <is>
          <t>Output token throughput из EvalScope (aggregate).</t>
        </is>
      </c>
      <c r="C19" s="4" t="inlineStr">
        <is>
          <t>INPUT</t>
        </is>
      </c>
      <c r="D19" s="20" t="n">
        <v>100</v>
      </c>
      <c r="E19" s="4" t="inlineStr">
        <is>
          <t>tok/s</t>
        </is>
      </c>
    </row>
    <row r="20">
      <c r="A20" s="8" t="inlineStr">
        <is>
          <t>D₁ = P_eff(BS₁)·B_q·10⁹ + BS₁·M_kv·1024³</t>
        </is>
      </c>
      <c r="B20" s="4" t="inlineStr">
        <is>
          <t>Знаменатель Th_dec для прогона 1 (без O_fixed). Примечание: p_eff_expr уже содержит *10⁹, поэтому здесь только *B_quant.</t>
        </is>
      </c>
      <c r="C20" s="4" t="inlineStr">
        <is>
          <t>calc</t>
        </is>
      </c>
      <c r="D20" s="24">
        <f>IF(Inputs!D52,(Inputs!D48+Inputs!D49*(1-POWER(1-Inputs!D50/Inputs!D51,D7))),Inputs!D37)*10^9*Inputs!D54+D7*D11*1024^3</f>
        <v/>
      </c>
      <c r="E20" s="4" t="inlineStr">
        <is>
          <t>bytes</t>
        </is>
      </c>
    </row>
    <row r="21">
      <c r="A21" s="8" t="inlineStr">
        <is>
          <t>D₂ = P_eff(BS₂)·B_q·10⁹ + BS₂·M_kv·1024³</t>
        </is>
      </c>
      <c r="B21" s="4" t="inlineStr">
        <is>
          <t>Знаменатель Th_dec для прогона 2 (без O_fixed); M_kv одинаковое (общая SL)</t>
        </is>
      </c>
      <c r="C21" s="4" t="inlineStr">
        <is>
          <t>calc</t>
        </is>
      </c>
      <c r="D21" s="24">
        <f>IF(Inputs!D52,(Inputs!D48+Inputs!D49*(1-POWER(1-Inputs!D50/Inputs!D51,D18))),Inputs!D37)*10^9*Inputs!D54+D18*D11*1024^3</f>
        <v/>
      </c>
      <c r="E21" s="4" t="inlineStr">
        <is>
          <t>bytes</t>
        </is>
      </c>
    </row>
    <row r="22">
      <c r="A22" s="8" t="inlineStr">
        <is>
          <t>t₁ = Th₁ / (N_model · BS₁)  per-session</t>
        </is>
      </c>
      <c r="B22" s="4" t="inlineStr">
        <is>
          <t>Приводим aggregate-пропускную к per-session</t>
        </is>
      </c>
      <c r="C22" s="4" t="inlineStr">
        <is>
          <t>calc</t>
        </is>
      </c>
      <c r="D22" s="12">
        <f>IF(AND(Sizing!D12&gt;0,D7&gt;0),D8/(Sizing!D12*D7),0)</f>
        <v/>
      </c>
      <c r="E22" s="4" t="inlineStr">
        <is>
          <t>tok/s/sess.</t>
        </is>
      </c>
    </row>
    <row r="23">
      <c r="A23" s="8" t="inlineStr">
        <is>
          <t>t₂ = Th₂ / (N_model · BS₂)</t>
        </is>
      </c>
      <c r="B23" s="4" t="inlineStr"/>
      <c r="C23" s="4" t="inlineStr">
        <is>
          <t>calc</t>
        </is>
      </c>
      <c r="D23" s="12">
        <f>IF(AND(Sizing!D12&gt;0,D18&gt;0),D19/(Sizing!D12*D18),0)</f>
        <v/>
      </c>
      <c r="E23" s="4" t="inlineStr">
        <is>
          <t>tok/s/sess.</t>
        </is>
      </c>
    </row>
    <row r="24">
      <c r="A24" s="8" t="inlineStr">
        <is>
          <t>O_fixed (выведено из 2 прогонов)</t>
        </is>
      </c>
      <c r="B24" s="4" t="inlineStr">
        <is>
          <t>O = (t₂·D₂ − t₁·D₁) / (1024³ · (t₁ − t₂)); в GiB. Если ≤ 0 → O_fixed = 0.</t>
        </is>
      </c>
      <c r="C24" s="4" t="inlineStr">
        <is>
          <t>calc</t>
        </is>
      </c>
      <c r="D24" s="25">
        <f>IF(ABS(D22-D23)&gt;0.01,(D23*D21-D22*D20)/(1024^3*(D22-D23)),0)</f>
        <v/>
      </c>
      <c r="E24" s="4" t="inlineStr">
        <is>
          <t>GiB</t>
        </is>
      </c>
    </row>
    <row r="25">
      <c r="A25" s="8" t="inlineStr">
        <is>
          <t>η_core (выведено из 2 прогонов)</t>
        </is>
      </c>
      <c r="B25" s="4" t="inlineStr">
        <is>
          <t>η_core = t₁ × (D₁ + O×1024³) / (BW × 10⁹); при O_fixed=0 совпадает с η_mem одноточечной калибровки.</t>
        </is>
      </c>
      <c r="C25" s="4" t="inlineStr">
        <is>
          <t>calc</t>
        </is>
      </c>
      <c r="D25" s="25">
        <f>IF(AND(D22&gt;0,Inputs!D28&gt;0),D22*(D20+D24*1024^3)/(Inputs!D28*10^9),0)</f>
        <v/>
      </c>
      <c r="E25" s="4" t="inlineStr">
        <is>
          <t>-</t>
        </is>
      </c>
    </row>
    <row r="26">
      <c r="A26" s="8" t="inlineStr">
        <is>
          <t>Валидность 2-точечного фита</t>
        </is>
      </c>
      <c r="B26" s="4" t="inlineStr">
        <is>
          <t>Требования: |t₁−t₂|/max(t₁,t₂) ≥ 20%, O_fixed ≥ 0, η_core ∈ (0, 1). Иначе проверьте: GPU/модель/квант в Inputs совпадают с реальностью, BS разнесены (например, 1 vs 16).</t>
        </is>
      </c>
      <c r="C26" s="4" t="inlineStr">
        <is>
          <t>calc</t>
        </is>
      </c>
      <c r="D26" s="3">
        <f>IF(AND(D22&gt;0,D23&gt;0),IF(ABS(D22-D23)/MAX(D22,D23)&lt;0.2,"⚠ t₁ и t₂ слишком близки (&lt; 20%): возьмите более разные BS",IF(D24&lt;0,"⚠ O_fixed &lt; 0 — dense модель или шум: выставьте O_fixed = 0",IF(OR(D25&lt;=0,D25&gt;1),"⚠ η_core вне диапазона (0,1): проверьте Inputs (GPU, модель, квант)","✓ валидный фит: скопируйте O_fixed и η_core в Inputs"))),"(введите данные обоих прогонов)")</f>
        <v/>
      </c>
      <c r="E26" s="4" t="inlineStr">
        <is>
          <t>status</t>
        </is>
      </c>
    </row>
    <row r="27"/>
    <row r="28">
      <c r="A28" s="5" t="inlineStr">
        <is>
          <t>Prefill-heavy прогон (длинный prompt, короткий output)</t>
        </is>
      </c>
      <c r="B28" s="6" t="n"/>
      <c r="C28" s="6" t="n"/>
      <c r="D28" s="6" t="n"/>
      <c r="E28" s="7" t="n"/>
    </row>
    <row r="29">
      <c r="A29" s="8" t="inlineStr">
        <is>
          <t>Th_pf^observed</t>
        </is>
      </c>
      <c r="B29" s="4" t="inlineStr">
        <is>
          <t>Total throughput − Output throughput</t>
        </is>
      </c>
      <c r="C29" s="4" t="inlineStr">
        <is>
          <t>INPUT</t>
        </is>
      </c>
      <c r="D29" s="20" t="n">
        <v>8000</v>
      </c>
      <c r="E29" s="4" t="inlineStr">
        <is>
          <t>tok/s</t>
        </is>
      </c>
    </row>
    <row r="30">
      <c r="A30" s="8" t="inlineStr">
        <is>
          <t>SL_pf прогона (средний prompt)</t>
        </is>
      </c>
      <c r="B30" s="4" t="inlineStr">
        <is>
          <t>min-prompt-length ≈ 7000-9000</t>
        </is>
      </c>
      <c r="C30" s="4" t="inlineStr">
        <is>
          <t>INPUT</t>
        </is>
      </c>
      <c r="D30" s="20" t="n">
        <v>8000</v>
      </c>
      <c r="E30" s="4" t="inlineStr">
        <is>
          <t>tokens</t>
        </is>
      </c>
    </row>
    <row r="31">
      <c r="A31" s="8" t="inlineStr">
        <is>
          <t>η_pf (выведено из прогона)</t>
        </is>
      </c>
      <c r="B31" s="4" t="inlineStr">
        <is>
          <t>Е.3: η_pf = Th_pf^obs · (FPS + 4·L·d_attn^pf·SL_pf) / (F_count · N). Без делителя BS.</t>
        </is>
      </c>
      <c r="C31" s="4" t="inlineStr">
        <is>
          <t>calc</t>
        </is>
      </c>
      <c r="D31" s="25">
        <f>IF(AND(Sizing!D26&gt;0,Sizing!D12&gt;0),D29*(Sizing!D25+4*Inputs!D38*Inputs!D90*D30)/(Sizing!D26*Sizing!D12),0)</f>
        <v/>
      </c>
      <c r="E31" s="4" t="inlineStr">
        <is>
          <t>-</t>
        </is>
      </c>
    </row>
    <row r="32"/>
    <row r="33">
      <c r="A33" s="5" t="inlineStr">
        <is>
          <t>Самопроверка по закону Литтла (Приложение Е.4)</t>
        </is>
      </c>
      <c r="B33" s="6" t="n"/>
      <c r="C33" s="6" t="n"/>
      <c r="D33" s="6" t="n"/>
      <c r="E33" s="7" t="n"/>
    </row>
    <row r="34">
      <c r="A34" s="8" t="inlineStr">
        <is>
          <t>λ: request throughput (из EvalScope)</t>
        </is>
      </c>
      <c r="B34" s="4" t="inlineStr">
        <is>
          <t>Запросов/с из прогона</t>
        </is>
      </c>
      <c r="C34" s="4" t="inlineStr">
        <is>
          <t>INPUT</t>
        </is>
      </c>
      <c r="D34" s="34" t="n">
        <v>10</v>
      </c>
      <c r="E34" s="4" t="inlineStr">
        <is>
          <t>req/s</t>
        </is>
      </c>
    </row>
    <row r="35">
      <c r="A35" s="8" t="inlineStr">
        <is>
          <t>W: average latency (из EvalScope)</t>
        </is>
      </c>
      <c r="B35" s="4" t="inlineStr">
        <is>
          <t>Средняя задержка, сек</t>
        </is>
      </c>
      <c r="C35" s="4" t="inlineStr">
        <is>
          <t>INPUT</t>
        </is>
      </c>
      <c r="D35" s="36" t="n">
        <v>3</v>
      </c>
      <c r="E35" s="4" t="inlineStr">
        <is>
          <t>s</t>
        </is>
      </c>
    </row>
    <row r="36">
      <c r="A36" s="8" t="inlineStr">
        <is>
          <t>N = λ · W (ожидаемая концентрация)</t>
        </is>
      </c>
      <c r="B36" s="4" t="inlineStr">
        <is>
          <t>Должна быть близка к BS</t>
        </is>
      </c>
      <c r="C36" s="4" t="inlineStr">
        <is>
          <t>calc</t>
        </is>
      </c>
      <c r="D36" s="10">
        <f>D34*D35</f>
        <v/>
      </c>
      <c r="E36" s="4" t="inlineStr">
        <is>
          <t>-</t>
        </is>
      </c>
    </row>
    <row r="37">
      <c r="A37" s="8" t="inlineStr">
        <is>
          <t>Проверка: |N - BS| / BS ≤ 10%</t>
        </is>
      </c>
      <c r="B37" s="4" t="inlineStr">
        <is>
          <t>Если выходит — прогон недостоверен</t>
        </is>
      </c>
      <c r="C37" s="4" t="inlineStr">
        <is>
          <t>calc</t>
        </is>
      </c>
      <c r="D37" s="3">
        <f>IF(D7&gt;0,IF(ABS(D36-D7)/D7&lt;=0.1,"✓ OK","✗ FAIL: пересмотрите прогон"),"(нет BS)")</f>
        <v/>
      </c>
      <c r="E37" s="4" t="inlineStr">
        <is>
          <t>status</t>
        </is>
      </c>
    </row>
    <row r="38"/>
    <row r="39">
      <c r="A39" s="5" t="inlineStr">
        <is>
          <t>Рекомендации по применению</t>
        </is>
      </c>
      <c r="B39" s="6" t="n"/>
      <c r="C39" s="6" t="n"/>
      <c r="D39" s="6" t="n"/>
      <c r="E39" s="7" t="n"/>
    </row>
    <row r="40">
      <c r="A40" s="4" t="inlineStr">
        <is>
          <t>Полученные η_mem, η_pf, η_dec скопируйте в соответствующие поля Inputs!D для данной пары (модель, GPU, движок). При смене модели, квантизации или версии инференс-движка повторите калибровку. η_dec валиден только для compute-bound decode — см. диагностику выше; для MoE-моделей decode обычно memory-bandwidth-bound, и η_dec слабо влияет на сайзинг (используйте типовые 0.02-0.05 из §Е.5).</t>
        </is>
      </c>
    </row>
  </sheetData>
  <mergeCells count="9">
    <mergeCell ref="A39:E39"/>
    <mergeCell ref="A4:E4"/>
    <mergeCell ref="A16:E16"/>
    <mergeCell ref="A28:E28"/>
    <mergeCell ref="A33:E33"/>
    <mergeCell ref="A40:E40"/>
    <mergeCell ref="A1:E1"/>
    <mergeCell ref="A6:E6"/>
    <mergeCell ref="A17:E17"/>
  </mergeCells>
  <conditionalFormatting sqref="D4:D2000">
    <cfRule type="expression" priority="1" dxfId="0">
      <formula>ISNUMBER(SEARCH("✓",D4))</formula>
    </cfRule>
    <cfRule type="expression" priority="2" dxfId="1">
      <formula>ISNUMBER(SEARCH("✗",D4))</formula>
    </cfRule>
    <cfRule type="expression" priority="3" dxfId="2">
      <formula>ISNUMBER(SEARCH("⚠",D4))</formula>
    </cfRule>
  </conditionalFormatting>
  <printOptions horizontalCentered="1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288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6" customWidth="1" min="3" max="3"/>
    <col width="11" customWidth="1" min="4" max="4"/>
    <col width="18" customWidth="1" min="5" max="5"/>
    <col width="13" customWidth="1" min="6" max="6"/>
    <col width="10" customWidth="1" min="7" max="7"/>
    <col width="12" customWidth="1" min="8" max="8"/>
    <col width="24" customWidth="1" min="9" max="9"/>
    <col width="12" customWidth="1" min="10" max="10"/>
    <col width="13" customWidth="1" min="11" max="11"/>
    <col width="18" customWidth="1" min="12" max="12"/>
    <col width="11" customWidth="1" min="13" max="13"/>
    <col width="11" customWidth="1" min="14" max="14"/>
    <col width="10" customWidth="1" min="15" max="15"/>
    <col width="11" customWidth="1" min="16" max="16"/>
  </cols>
  <sheetData>
    <row r="1">
      <c r="A1" s="5" t="inlineStr">
        <is>
          <t>Каталог GPU (генерируется из каталога API: gpu_data.json + gpu_overrides.json)</t>
        </is>
      </c>
    </row>
    <row r="2">
      <c r="A2" s="28" t="inlineStr">
        <is>
          <t>GPU</t>
        </is>
      </c>
      <c r="B2" s="28" t="inlineStr">
        <is>
          <t>Memory (GiB)</t>
        </is>
      </c>
      <c r="C2" s="28" t="inlineStr">
        <is>
          <t>FLOPS FP16 (TFLOPS)</t>
        </is>
      </c>
      <c r="D2" s="28" t="inlineStr">
        <is>
          <t>BW_GPU (GB/s)</t>
        </is>
      </c>
      <c r="E2" s="28" t="inlineStr">
        <is>
          <t>Memory type</t>
        </is>
      </c>
      <c r="F2" s="28" t="inlineStr">
        <is>
          <t>id</t>
        </is>
      </c>
    </row>
    <row r="3">
      <c r="A3" s="29" t="inlineStr">
        <is>
          <t>AMD Instinct MI100 (Arcturus)</t>
        </is>
      </c>
      <c r="B3" s="29" t="n">
        <v>32</v>
      </c>
      <c r="C3" s="29" t="n">
        <v>184.6</v>
      </c>
      <c r="D3" s="29" t="n">
        <v>1228.8</v>
      </c>
      <c r="E3" s="29" t="inlineStr">
        <is>
          <t>HBM2</t>
        </is>
      </c>
      <c r="F3" s="29" t="inlineStr">
        <is>
          <t>amd-amd-instinct-mi100-arcturus</t>
        </is>
      </c>
      <c r="G3" s="29" t="n"/>
      <c r="H3" s="29" t="n"/>
      <c r="I3" s="29" t="n"/>
      <c r="J3" s="29" t="n"/>
      <c r="K3" s="29" t="n"/>
      <c r="L3" s="29" t="n"/>
      <c r="M3" s="29" t="n"/>
      <c r="N3" s="29" t="n"/>
      <c r="O3" s="29" t="n"/>
      <c r="P3" s="29" t="n"/>
    </row>
    <row r="4">
      <c r="A4" s="29" t="inlineStr">
        <is>
          <t>AMD Instinct MI210 (Aldebaran)</t>
        </is>
      </c>
      <c r="B4" s="29" t="n">
        <v>64</v>
      </c>
      <c r="C4" s="29" t="n">
        <v>181</v>
      </c>
      <c r="D4" s="29" t="n">
        <v>1638.4</v>
      </c>
      <c r="E4" s="29" t="inlineStr">
        <is>
          <t>HBM2E</t>
        </is>
      </c>
      <c r="F4" s="29" t="inlineStr">
        <is>
          <t>amd-amd-instinct-mi210-aldebaran</t>
        </is>
      </c>
      <c r="G4" s="29" t="n"/>
      <c r="H4" s="29" t="n"/>
      <c r="I4" s="29" t="n"/>
      <c r="J4" s="29" t="n"/>
      <c r="K4" s="29" t="n"/>
      <c r="L4" s="29" t="n"/>
      <c r="M4" s="29" t="n"/>
      <c r="N4" s="29" t="n"/>
      <c r="O4" s="29" t="n"/>
      <c r="P4" s="29" t="n"/>
    </row>
    <row r="5">
      <c r="A5" s="29" t="inlineStr">
        <is>
          <t>AMD Instinct MI250 (Aldebaran)</t>
        </is>
      </c>
      <c r="B5" s="29" t="n">
        <v>64</v>
      </c>
      <c r="C5" s="29" t="n">
        <v>362.1</v>
      </c>
      <c r="D5" s="29" t="n">
        <v>1638.4</v>
      </c>
      <c r="E5" s="29" t="inlineStr">
        <is>
          <t>HBM2E</t>
        </is>
      </c>
      <c r="F5" s="29" t="inlineStr">
        <is>
          <t>amd-amd-instinct-mi250-aldebaran</t>
        </is>
      </c>
      <c r="G5" s="29" t="n"/>
      <c r="H5" s="29" t="n"/>
      <c r="I5" s="29" t="n"/>
      <c r="J5" s="29" t="n"/>
      <c r="K5" s="29" t="n"/>
      <c r="L5" s="29" t="n"/>
      <c r="M5" s="29" t="n"/>
      <c r="N5" s="29" t="n"/>
      <c r="O5" s="29" t="n"/>
      <c r="P5" s="29" t="n"/>
    </row>
    <row r="6">
      <c r="A6" s="29" t="inlineStr">
        <is>
          <t>AMD Instinct MI250X (Aldebaran)</t>
        </is>
      </c>
      <c r="B6" s="29" t="n">
        <v>64</v>
      </c>
      <c r="C6" s="29" t="n">
        <v>383</v>
      </c>
      <c r="D6" s="29" t="n">
        <v>1638.4</v>
      </c>
      <c r="E6" s="29" t="inlineStr">
        <is>
          <t>HBM2E</t>
        </is>
      </c>
      <c r="F6" s="29" t="inlineStr">
        <is>
          <t>amd-amd-instinct-mi250x-aldebaran</t>
        </is>
      </c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</row>
    <row r="7">
      <c r="A7" s="29" t="inlineStr">
        <is>
          <t>AMD Instinct MI300A (Antares)</t>
        </is>
      </c>
      <c r="B7" s="29" t="n">
        <v>128</v>
      </c>
      <c r="C7" s="29" t="n">
        <v>980.6</v>
      </c>
      <c r="D7" s="29" t="n">
        <v>5300</v>
      </c>
      <c r="E7" s="29" t="inlineStr">
        <is>
          <t>HBM3</t>
        </is>
      </c>
      <c r="F7" s="29" t="inlineStr">
        <is>
          <t>amd-amd-instinct-mi300a-antares</t>
        </is>
      </c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</row>
    <row r="8">
      <c r="A8" s="29" t="inlineStr">
        <is>
          <t>AMD Instinct MI300X (Aqua Vanjaram)</t>
        </is>
      </c>
      <c r="B8" s="29" t="n">
        <v>192</v>
      </c>
      <c r="C8" s="29" t="n">
        <v>1307.4</v>
      </c>
      <c r="D8" s="29" t="n">
        <v>5300</v>
      </c>
      <c r="E8" s="29" t="inlineStr">
        <is>
          <t>HBM3</t>
        </is>
      </c>
      <c r="F8" s="29" t="inlineStr">
        <is>
          <t>amd-amd-instinct-mi300x-aqua-vanjaram</t>
        </is>
      </c>
      <c r="G8" s="29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</row>
    <row r="9">
      <c r="A9" s="29" t="inlineStr">
        <is>
          <t>AMD Instinct MI325X</t>
        </is>
      </c>
      <c r="B9" s="29" t="n">
        <v>256</v>
      </c>
      <c r="C9" s="29" t="n">
        <v>1307.4</v>
      </c>
      <c r="D9" s="29" t="n">
        <v>6000</v>
      </c>
      <c r="E9" s="29" t="inlineStr">
        <is>
          <t>HBM3E</t>
        </is>
      </c>
      <c r="F9" s="29" t="inlineStr">
        <is>
          <t>amd-instinct-mi325x</t>
        </is>
      </c>
      <c r="G9" s="29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</row>
    <row r="10">
      <c r="A10" s="29" t="inlineStr">
        <is>
          <t>AMD Instinct MI350X</t>
        </is>
      </c>
      <c r="B10" s="29" t="n">
        <v>288</v>
      </c>
      <c r="C10" s="29" t="n">
        <v>2300</v>
      </c>
      <c r="D10" s="29" t="n">
        <v>8000</v>
      </c>
      <c r="E10" s="29" t="inlineStr">
        <is>
          <t>HBM3E</t>
        </is>
      </c>
      <c r="F10" s="29" t="inlineStr">
        <is>
          <t>amd-amd-instinct-mi350x</t>
        </is>
      </c>
      <c r="G10" s="29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</row>
    <row r="11">
      <c r="A11" s="29" t="inlineStr">
        <is>
          <t>AMD Instinct MI355X</t>
        </is>
      </c>
      <c r="B11" s="29" t="n">
        <v>288</v>
      </c>
      <c r="C11" s="29" t="n">
        <v>2516.6</v>
      </c>
      <c r="D11" s="29" t="n">
        <v>8000</v>
      </c>
      <c r="E11" s="29" t="inlineStr">
        <is>
          <t>HBM3E</t>
        </is>
      </c>
      <c r="F11" s="29" t="inlineStr">
        <is>
          <t>amd-amd-instinct-mi355x</t>
        </is>
      </c>
      <c r="G11" s="29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</row>
    <row r="12">
      <c r="A12" s="29" t="inlineStr">
        <is>
          <t>NVIDIA A10 GPU accelerator (PCIe card)</t>
        </is>
      </c>
      <c r="B12" s="29" t="n">
        <v>24</v>
      </c>
      <c r="C12" s="29" t="n">
        <v>125</v>
      </c>
      <c r="D12" s="29" t="n">
        <v>600</v>
      </c>
      <c r="E12" s="29" t="inlineStr">
        <is>
          <t>GDDR6</t>
        </is>
      </c>
      <c r="F12" s="29" t="inlineStr">
        <is>
          <t>nvidia-a10-gpu-accelerator-pcie-card</t>
        </is>
      </c>
      <c r="G12" s="29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</row>
    <row r="13">
      <c r="A13" s="29" t="inlineStr">
        <is>
          <t>NVIDIA A100 GPU accelerator (PCIe card)</t>
        </is>
      </c>
      <c r="B13" s="29" t="n">
        <v>80</v>
      </c>
      <c r="C13" s="29" t="n">
        <v>312</v>
      </c>
      <c r="D13" s="29" t="n">
        <v>1935</v>
      </c>
      <c r="E13" s="29" t="inlineStr">
        <is>
          <t>HBM2</t>
        </is>
      </c>
      <c r="F13" s="29" t="inlineStr">
        <is>
          <t>nvidia-a100-gpu-accelerator-pcie-card</t>
        </is>
      </c>
      <c r="G13" s="29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</row>
    <row r="14">
      <c r="A14" s="29" t="inlineStr">
        <is>
          <t>NVIDIA A100 PCIe 40GB</t>
        </is>
      </c>
      <c r="B14" s="29" t="n">
        <v>40</v>
      </c>
      <c r="C14" s="29" t="n">
        <v>312</v>
      </c>
      <c r="D14" s="29" t="n">
        <v>1555</v>
      </c>
      <c r="E14" s="29" t="inlineStr">
        <is>
          <t>HBM2</t>
        </is>
      </c>
      <c r="F14" s="29" t="inlineStr">
        <is>
          <t>nvidia-a100-pcie-40gb</t>
        </is>
      </c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</row>
    <row r="15">
      <c r="A15" s="29" t="inlineStr">
        <is>
          <t>NVIDIA A100 SXM4 80GB</t>
        </is>
      </c>
      <c r="B15" s="29" t="n">
        <v>80</v>
      </c>
      <c r="C15" s="29" t="n">
        <v>312</v>
      </c>
      <c r="D15" s="29" t="n">
        <v>2039</v>
      </c>
      <c r="E15" s="29" t="inlineStr">
        <is>
          <t>HBM2e</t>
        </is>
      </c>
      <c r="F15" s="29" t="inlineStr">
        <is>
          <t>nvidia-a100-sxm4-80gb</t>
        </is>
      </c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</row>
    <row r="16">
      <c r="A16" s="29" t="inlineStr">
        <is>
          <t>NVIDIA A30 GPU accelerator (PCIe card)</t>
        </is>
      </c>
      <c r="B16" s="29" t="n">
        <v>24</v>
      </c>
      <c r="C16" s="29" t="n">
        <v>165.1</v>
      </c>
      <c r="D16" s="29" t="n">
        <v>933.1</v>
      </c>
      <c r="E16" s="29" t="inlineStr">
        <is>
          <t>HBM2</t>
        </is>
      </c>
      <c r="F16" s="29" t="inlineStr">
        <is>
          <t>nvidia-a30-gpu-accelerator-pcie-card</t>
        </is>
      </c>
      <c r="G16" s="29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</row>
    <row r="17">
      <c r="A17" s="29" t="inlineStr">
        <is>
          <t>NVIDIA A40 GPU accelerator (PCIe card)</t>
        </is>
      </c>
      <c r="B17" s="29" t="n">
        <v>48</v>
      </c>
      <c r="C17" s="29" t="n">
        <v>149.7</v>
      </c>
      <c r="D17" s="29" t="n">
        <v>695.8</v>
      </c>
      <c r="E17" s="29" t="inlineStr">
        <is>
          <t>GDDR6</t>
        </is>
      </c>
      <c r="F17" s="29" t="inlineStr">
        <is>
          <t>nvidia-a40-gpu-accelerator-pcie-card</t>
        </is>
      </c>
      <c r="G17" s="29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</row>
    <row r="18">
      <c r="A18" s="29" t="inlineStr">
        <is>
          <t>NVIDIA B200 GPU accelerator (PCIe card / B200 NVL)</t>
        </is>
      </c>
      <c r="B18" s="29" t="n">
        <v>192</v>
      </c>
      <c r="C18" s="29" t="n">
        <v>2250</v>
      </c>
      <c r="D18" s="29" t="n">
        <v>8000</v>
      </c>
      <c r="E18" s="29" t="inlineStr">
        <is>
          <t>HBM3e</t>
        </is>
      </c>
      <c r="F18" s="29" t="inlineStr">
        <is>
          <t>nvidia-b200-gpu-accelerator-pcie-card</t>
        </is>
      </c>
      <c r="G18" s="29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</row>
    <row r="19">
      <c r="A19" s="29" t="inlineStr">
        <is>
          <t>NVIDIA B200 GPU accelerator (SXM card, HGX/DGX)</t>
        </is>
      </c>
      <c r="B19" s="29" t="n">
        <v>192</v>
      </c>
      <c r="C19" s="29" t="n">
        <v>2250</v>
      </c>
      <c r="D19" s="29" t="n">
        <v>8000</v>
      </c>
      <c r="E19" s="29" t="inlineStr">
        <is>
          <t>HBM3e</t>
        </is>
      </c>
      <c r="F19" s="29" t="inlineStr">
        <is>
          <t>nvidia-b200-gpu-accelerator-sxm-card</t>
        </is>
      </c>
      <c r="G19" s="29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</row>
    <row r="20">
      <c r="A20" s="29" t="inlineStr">
        <is>
          <t>NVIDIA B300 GPU accelerator (Blackwell Ultra, SXM)</t>
        </is>
      </c>
      <c r="B20" s="29" t="n">
        <v>288</v>
      </c>
      <c r="C20" s="29" t="n">
        <v>3375</v>
      </c>
      <c r="D20" s="29" t="n">
        <v>8000</v>
      </c>
      <c r="E20" s="29" t="inlineStr">
        <is>
          <t>HBM3e</t>
        </is>
      </c>
      <c r="F20" s="29" t="inlineStr">
        <is>
          <t>nvidia-b300-gpu-accelerator-sxm-card</t>
        </is>
      </c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</row>
    <row r="21">
      <c r="A21" s="29" t="inlineStr">
        <is>
          <t>NVIDIA GH200 Grace Hopper Superchip (144GB HBM3e)</t>
        </is>
      </c>
      <c r="B21" s="29" t="n">
        <v>144</v>
      </c>
      <c r="C21" s="29" t="n">
        <v>990</v>
      </c>
      <c r="D21" s="29" t="n">
        <v>4900</v>
      </c>
      <c r="E21" s="29" t="inlineStr">
        <is>
          <t>HBM3e</t>
        </is>
      </c>
      <c r="F21" s="29" t="inlineStr">
        <is>
          <t>nvidia-gh200-grace-hopper-superchip-144gb</t>
        </is>
      </c>
      <c r="G21" s="29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</row>
    <row r="22">
      <c r="A22" s="29" t="inlineStr">
        <is>
          <t>NVIDIA H100 GPU accelerator (PCIe card)</t>
        </is>
      </c>
      <c r="B22" s="29" t="n">
        <v>80</v>
      </c>
      <c r="C22" s="29" t="n">
        <v>756.4</v>
      </c>
      <c r="D22" s="29" t="n">
        <v>2039</v>
      </c>
      <c r="E22" s="29" t="inlineStr">
        <is>
          <t>HBM2E</t>
        </is>
      </c>
      <c r="F22" s="29" t="inlineStr">
        <is>
          <t>nvidia-h100-gpu-accelerator-pcie-card</t>
        </is>
      </c>
      <c r="G22" s="29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</row>
    <row r="23">
      <c r="A23" s="29" t="inlineStr">
        <is>
          <t>NVIDIA H100 GPU accelerator (SXM card)</t>
        </is>
      </c>
      <c r="B23" s="29" t="n">
        <v>80</v>
      </c>
      <c r="C23" s="29" t="n">
        <v>989.4</v>
      </c>
      <c r="D23" s="29" t="n">
        <v>3352</v>
      </c>
      <c r="E23" s="29" t="inlineStr">
        <is>
          <t>HBM3</t>
        </is>
      </c>
      <c r="F23" s="29" t="inlineStr">
        <is>
          <t>nvidia-h100-gpu-accelerator-sxm-card</t>
        </is>
      </c>
      <c r="G23" s="29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</row>
    <row r="24">
      <c r="A24" s="29" t="inlineStr">
        <is>
          <t>NVIDIA H20 96GB</t>
        </is>
      </c>
      <c r="B24" s="29" t="n">
        <v>96</v>
      </c>
      <c r="C24" s="29" t="n">
        <v>148</v>
      </c>
      <c r="D24" s="29" t="n">
        <v>4000</v>
      </c>
      <c r="E24" s="29" t="inlineStr">
        <is>
          <t>HBM3</t>
        </is>
      </c>
      <c r="F24" s="29" t="inlineStr">
        <is>
          <t>nvidia-h20</t>
        </is>
      </c>
      <c r="G24" s="29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</row>
    <row r="25">
      <c r="A25" s="29" t="inlineStr">
        <is>
          <t>NVIDIA H200 GPU accelerator (PCIe card)</t>
        </is>
      </c>
      <c r="B25" s="29" t="n">
        <v>141</v>
      </c>
      <c r="C25" s="29" t="n">
        <v>835</v>
      </c>
      <c r="D25" s="29" t="n">
        <v>4800</v>
      </c>
      <c r="E25" s="29" t="inlineStr">
        <is>
          <t>HBM3E</t>
        </is>
      </c>
      <c r="F25" s="29" t="inlineStr">
        <is>
          <t>nvidia-h200-gpu-accelerator-pcie-card</t>
        </is>
      </c>
      <c r="G25" s="29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</row>
    <row r="26">
      <c r="A26" s="29" t="inlineStr">
        <is>
          <t>NVIDIA H200 GPU accelerator (SXM card)</t>
        </is>
      </c>
      <c r="B26" s="29" t="n">
        <v>141</v>
      </c>
      <c r="C26" s="29" t="n">
        <v>989</v>
      </c>
      <c r="D26" s="29" t="n">
        <v>4800</v>
      </c>
      <c r="E26" s="29" t="inlineStr">
        <is>
          <t>HBM3E</t>
        </is>
      </c>
      <c r="F26" s="29" t="inlineStr">
        <is>
          <t>nvidia-h200-gpu-accelerator-sxm-card</t>
        </is>
      </c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</row>
    <row r="27">
      <c r="A27" s="29" t="inlineStr">
        <is>
          <t>NVIDIA H800 GPU accelerator (SXM card)</t>
        </is>
      </c>
      <c r="B27" s="29" t="n">
        <v>80</v>
      </c>
      <c r="C27" s="29" t="n">
        <v>989.5</v>
      </c>
      <c r="D27" s="29" t="n">
        <v>3360</v>
      </c>
      <c r="E27" s="29" t="inlineStr">
        <is>
          <t>HBM3</t>
        </is>
      </c>
      <c r="F27" s="29" t="inlineStr">
        <is>
          <t>nvidia-h800-gpu-accelerator-sxm-card</t>
        </is>
      </c>
      <c r="G27" s="29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</row>
    <row r="28">
      <c r="A28" s="29" t="inlineStr">
        <is>
          <t>NVIDIA L40 GPU accelerator</t>
        </is>
      </c>
      <c r="B28" s="29" t="n">
        <v>48</v>
      </c>
      <c r="C28" s="29" t="n">
        <v>362.1</v>
      </c>
      <c r="D28" s="29" t="n">
        <v>864</v>
      </c>
      <c r="E28" s="29" t="inlineStr">
        <is>
          <t>GDDR6</t>
        </is>
      </c>
      <c r="F28" s="29" t="inlineStr">
        <is>
          <t>nvidia-l40-gpu-accelerator</t>
        </is>
      </c>
      <c r="G28" s="29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</row>
    <row r="29">
      <c r="A29" s="29" t="inlineStr">
        <is>
          <t>NVIDIA L40S</t>
        </is>
      </c>
      <c r="B29" s="29" t="n">
        <v>48</v>
      </c>
      <c r="C29" s="29" t="n">
        <v>362.05</v>
      </c>
      <c r="D29" s="29" t="n">
        <v>864</v>
      </c>
      <c r="E29" s="29" t="inlineStr">
        <is>
          <t>GDDR6</t>
        </is>
      </c>
      <c r="F29" s="29" t="inlineStr">
        <is>
          <t>nvidia-l40s</t>
        </is>
      </c>
      <c r="G29" s="29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</row>
    <row r="30">
      <c r="A30" s="29" t="inlineStr">
        <is>
          <t>NVIDIA RTX PRO 6000 Blackwell Max-Q Workstation Edition</t>
        </is>
      </c>
      <c r="B30" s="29" t="n">
        <v>96</v>
      </c>
      <c r="C30" s="29" t="n">
        <v>110.1</v>
      </c>
      <c r="D30" s="29" t="n">
        <v>1792</v>
      </c>
      <c r="E30" s="29" t="inlineStr">
        <is>
          <t>GDDR7</t>
        </is>
      </c>
      <c r="F30" s="29" t="inlineStr">
        <is>
          <t>nvidia-rtx-pro-6000-blackwell-max-q-workstation-edition</t>
        </is>
      </c>
      <c r="G30" s="29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</row>
    <row r="31">
      <c r="A31" s="29" t="inlineStr">
        <is>
          <t>NVIDIA RTX PRO 6000 Blackwell Server Edition</t>
        </is>
      </c>
      <c r="B31" s="29" t="n">
        <v>96</v>
      </c>
      <c r="C31" s="29" t="n">
        <v>250</v>
      </c>
      <c r="D31" s="29" t="n">
        <v>1792</v>
      </c>
      <c r="E31" s="29" t="inlineStr">
        <is>
          <t>GDDR7</t>
        </is>
      </c>
      <c r="F31" s="29" t="inlineStr">
        <is>
          <t>nvidia-rtx-pro-6000-blackwell-server-edition</t>
        </is>
      </c>
      <c r="G31" s="29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</row>
    <row r="32">
      <c r="A32" s="29" t="inlineStr">
        <is>
          <t>NVIDIA RTX PRO 6000 Blackwell Workstation Edition</t>
        </is>
      </c>
      <c r="B32" s="29" t="n">
        <v>96</v>
      </c>
      <c r="C32" s="29" t="n">
        <v>126</v>
      </c>
      <c r="D32" s="29" t="n">
        <v>1792</v>
      </c>
      <c r="E32" s="29" t="inlineStr">
        <is>
          <t>GDDR7</t>
        </is>
      </c>
      <c r="F32" s="29" t="inlineStr">
        <is>
          <t>nvidia-rtx-pro-6000-blackwell-workstation-edition</t>
        </is>
      </c>
      <c r="G32" s="29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</row>
    <row r="33">
      <c r="A33" s="29" t="inlineStr">
        <is>
          <t>NVIDIA V100 GPU accelerator (PCIe card)</t>
        </is>
      </c>
      <c r="B33" s="29" t="n">
        <v>32</v>
      </c>
      <c r="C33" s="29" t="n">
        <v>112.2</v>
      </c>
      <c r="D33" s="29" t="n">
        <v>900</v>
      </c>
      <c r="E33" s="29" t="inlineStr">
        <is>
          <t>HBM2</t>
        </is>
      </c>
      <c r="F33" s="29" t="inlineStr">
        <is>
          <t>nvidia-v100-gpu-accelerator-pcie-card</t>
        </is>
      </c>
      <c r="G33" s="29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</row>
    <row r="34">
      <c r="A34" s="29" t="inlineStr">
        <is>
          <t>NVIDIA V100 GPU accelerator (mezzanine)</t>
        </is>
      </c>
      <c r="B34" s="29" t="n">
        <v>32</v>
      </c>
      <c r="C34" s="29" t="n">
        <v>119.2</v>
      </c>
      <c r="D34" s="29" t="n">
        <v>900</v>
      </c>
      <c r="E34" s="29" t="inlineStr">
        <is>
          <t>HBM2</t>
        </is>
      </c>
      <c r="F34" s="29" t="inlineStr">
        <is>
          <t>nvidia-v100-gpu-accelerator-mezzanine</t>
        </is>
      </c>
      <c r="G34" s="29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</row>
    <row r="35">
      <c r="A35" s="29" t="inlineStr">
        <is>
          <t>NVIDIA V100S PCIe 32GB</t>
        </is>
      </c>
      <c r="B35" s="29" t="n">
        <v>32</v>
      </c>
      <c r="C35" s="29" t="n">
        <v>130</v>
      </c>
      <c r="D35" s="29" t="n">
        <v>1134</v>
      </c>
      <c r="E35" s="29" t="inlineStr">
        <is>
          <t>HBM2</t>
        </is>
      </c>
      <c r="F35" s="29" t="inlineStr">
        <is>
          <t>nvidia-v100s-pcie-32gb</t>
        </is>
      </c>
      <c r="G35" s="29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</row>
    <row r="36">
      <c r="A36" s="29" t="n"/>
      <c r="B36" s="29" t="n"/>
      <c r="C36" s="29" t="n"/>
      <c r="D36" s="29" t="n"/>
      <c r="E36" s="29" t="n"/>
      <c r="F36" s="29" t="n"/>
      <c r="G36" s="29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</row>
    <row r="37">
      <c r="A37" s="29" t="n"/>
      <c r="B37" s="29" t="n"/>
      <c r="C37" s="29" t="n"/>
      <c r="D37" s="29" t="n"/>
      <c r="E37" s="29" t="n"/>
      <c r="F37" s="29" t="n"/>
      <c r="G37" s="29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</row>
    <row r="38">
      <c r="A38" s="29" t="n"/>
      <c r="B38" s="29" t="n"/>
      <c r="C38" s="29" t="n"/>
      <c r="D38" s="29" t="n"/>
      <c r="E38" s="29" t="n"/>
      <c r="F38" s="29" t="n"/>
      <c r="G38" s="29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</row>
    <row r="39">
      <c r="A39" s="29" t="n"/>
      <c r="B39" s="29" t="n"/>
      <c r="C39" s="29" t="n"/>
      <c r="D39" s="29" t="n"/>
      <c r="E39" s="29" t="n"/>
      <c r="F39" s="29" t="n"/>
      <c r="G39" s="29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</row>
    <row r="40">
      <c r="A40" s="29" t="n"/>
      <c r="B40" s="29" t="n"/>
      <c r="C40" s="29" t="n"/>
      <c r="D40" s="29" t="n"/>
      <c r="E40" s="29" t="n"/>
      <c r="F40" s="29" t="n"/>
      <c r="G40" s="29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</row>
    <row r="41">
      <c r="A41" s="29" t="n"/>
      <c r="B41" s="29" t="n"/>
      <c r="C41" s="29" t="n"/>
      <c r="D41" s="29" t="n"/>
      <c r="E41" s="29" t="n"/>
      <c r="F41" s="29" t="n"/>
      <c r="G41" s="29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</row>
    <row r="42">
      <c r="A42" s="29" t="n"/>
      <c r="B42" s="29" t="n"/>
      <c r="C42" s="29" t="n"/>
      <c r="D42" s="29" t="n"/>
      <c r="E42" s="29" t="n"/>
      <c r="F42" s="29" t="n"/>
      <c r="G42" s="29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</row>
    <row r="43">
      <c r="A43" s="29" t="n"/>
      <c r="B43" s="29" t="n"/>
      <c r="C43" s="29" t="n"/>
      <c r="D43" s="29" t="n"/>
      <c r="E43" s="29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</row>
    <row r="44">
      <c r="A44" s="29" t="n"/>
      <c r="B44" s="29" t="n"/>
      <c r="C44" s="29" t="n"/>
      <c r="D44" s="29" t="n"/>
      <c r="E44" s="29" t="n"/>
      <c r="F44" s="29" t="n"/>
      <c r="G44" s="29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</row>
    <row r="45">
      <c r="A45" s="29" t="n"/>
      <c r="B45" s="29" t="n"/>
      <c r="C45" s="29" t="n"/>
      <c r="D45" s="29" t="n"/>
      <c r="E45" s="29" t="n"/>
      <c r="F45" s="29" t="n"/>
      <c r="G45" s="29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</row>
    <row r="46">
      <c r="A46" s="29" t="n"/>
      <c r="B46" s="29" t="n"/>
      <c r="C46" s="29" t="n"/>
      <c r="D46" s="29" t="n"/>
      <c r="E46" s="29" t="n"/>
      <c r="F46" s="29" t="n"/>
      <c r="G46" s="29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</row>
    <row r="47">
      <c r="A47" s="29" t="n"/>
      <c r="B47" s="29" t="n"/>
      <c r="C47" s="29" t="n"/>
      <c r="D47" s="29" t="n"/>
      <c r="E47" s="29" t="n"/>
      <c r="F47" s="29" t="n"/>
      <c r="G47" s="29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</row>
    <row r="48">
      <c r="A48" s="29" t="n"/>
      <c r="B48" s="29" t="n"/>
      <c r="C48" s="29" t="n"/>
      <c r="D48" s="29" t="n"/>
      <c r="E48" s="29" t="n"/>
      <c r="F48" s="29" t="n"/>
      <c r="G48" s="29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</row>
    <row r="49">
      <c r="A49" s="29" t="n"/>
      <c r="B49" s="29" t="n"/>
      <c r="C49" s="29" t="n"/>
      <c r="D49" s="29" t="n"/>
      <c r="E49" s="29" t="n"/>
      <c r="F49" s="29" t="n"/>
      <c r="G49" s="29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</row>
    <row r="50">
      <c r="A50" s="29" t="n"/>
      <c r="B50" s="29" t="n"/>
      <c r="C50" s="29" t="n"/>
      <c r="D50" s="29" t="n"/>
      <c r="E50" s="29" t="n"/>
      <c r="F50" s="29" t="n"/>
      <c r="G50" s="29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</row>
    <row r="51">
      <c r="A51" s="29" t="n"/>
      <c r="B51" s="29" t="n"/>
      <c r="C51" s="29" t="n"/>
      <c r="D51" s="29" t="n"/>
      <c r="E51" s="29" t="n"/>
      <c r="F51" s="29" t="n"/>
      <c r="G51" s="29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</row>
    <row r="52">
      <c r="A52" s="29" t="n"/>
      <c r="B52" s="29" t="n"/>
      <c r="C52" s="29" t="n"/>
      <c r="D52" s="29" t="n"/>
      <c r="E52" s="29" t="n"/>
      <c r="F52" s="29" t="n"/>
      <c r="G52" s="29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</row>
    <row r="53">
      <c r="A53" s="29" t="n"/>
      <c r="B53" s="29" t="n"/>
      <c r="C53" s="29" t="n"/>
      <c r="D53" s="29" t="n"/>
      <c r="E53" s="29" t="n"/>
      <c r="F53" s="29" t="n"/>
      <c r="G53" s="29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</row>
    <row r="54">
      <c r="A54" s="29" t="n"/>
      <c r="B54" s="29" t="n"/>
      <c r="C54" s="29" t="n"/>
      <c r="D54" s="29" t="n"/>
      <c r="E54" s="29" t="n"/>
      <c r="F54" s="29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</row>
    <row r="55">
      <c r="A55" s="29" t="n"/>
      <c r="B55" s="29" t="n"/>
      <c r="C55" s="29" t="n"/>
      <c r="D55" s="29" t="n"/>
      <c r="E55" s="29" t="n"/>
      <c r="F55" s="29" t="n"/>
      <c r="G55" s="29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</row>
    <row r="56">
      <c r="A56" s="29" t="n"/>
      <c r="B56" s="29" t="n"/>
      <c r="C56" s="29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</row>
    <row r="57">
      <c r="A57" s="29" t="n"/>
      <c r="B57" s="29" t="n"/>
      <c r="C57" s="29" t="n"/>
      <c r="D57" s="29" t="n"/>
      <c r="E57" s="29" t="n"/>
      <c r="F57" s="29" t="n"/>
      <c r="G57" s="29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</row>
    <row r="58">
      <c r="A58" s="29" t="n"/>
      <c r="B58" s="29" t="n"/>
      <c r="C58" s="29" t="n"/>
      <c r="D58" s="29" t="n"/>
      <c r="E58" s="29" t="n"/>
      <c r="F58" s="29" t="n"/>
      <c r="G58" s="29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</row>
    <row r="59">
      <c r="A59" s="29" t="n"/>
      <c r="B59" s="29" t="n"/>
      <c r="C59" s="29" t="n"/>
      <c r="D59" s="29" t="n"/>
      <c r="E59" s="29" t="n"/>
      <c r="F59" s="29" t="n"/>
      <c r="G59" s="29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</row>
    <row r="60">
      <c r="A60" s="29" t="n"/>
      <c r="B60" s="29" t="n"/>
      <c r="C60" s="29" t="n"/>
      <c r="D60" s="29" t="n"/>
      <c r="E60" s="29" t="n"/>
      <c r="F60" s="29" t="n"/>
      <c r="G60" s="29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</row>
    <row r="61">
      <c r="A61" s="29" t="n"/>
      <c r="B61" s="29" t="n"/>
      <c r="C61" s="29" t="n"/>
      <c r="D61" s="29" t="n"/>
      <c r="E61" s="29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</row>
    <row r="62">
      <c r="A62" s="29" t="n"/>
      <c r="B62" s="29" t="n"/>
      <c r="C62" s="29" t="n"/>
      <c r="D62" s="29" t="n"/>
      <c r="E62" s="29" t="n"/>
      <c r="F62" s="29" t="n"/>
      <c r="G62" s="29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</row>
    <row r="63">
      <c r="A63" s="29" t="n"/>
      <c r="B63" s="29" t="n"/>
      <c r="C63" s="29" t="n"/>
      <c r="D63" s="29" t="n"/>
      <c r="E63" s="29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</row>
    <row r="64">
      <c r="A64" s="5" t="inlineStr">
        <is>
          <t>Каталог LLM моделей (генерируется из llm_data.json)</t>
        </is>
      </c>
      <c r="B64" s="29" t="n"/>
      <c r="C64" s="29" t="n"/>
      <c r="D64" s="29" t="n"/>
      <c r="E64" s="29" t="n"/>
      <c r="F64" s="29" t="n"/>
      <c r="G64" s="29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</row>
    <row r="65">
      <c r="A65" s="28" t="inlineStr">
        <is>
          <t>LLM</t>
        </is>
      </c>
      <c r="B65" s="28" t="inlineStr">
        <is>
          <t>P_total (B)</t>
        </is>
      </c>
      <c r="C65" s="28" t="inlineStr">
        <is>
          <t>P_active (B)</t>
        </is>
      </c>
      <c r="D65" s="28" t="inlineStr">
        <is>
          <t>L</t>
        </is>
      </c>
      <c r="E65" s="28" t="inlineStr">
        <is>
          <t>H</t>
        </is>
      </c>
      <c r="F65" s="28" t="inlineStr">
        <is>
          <t>N_attention</t>
        </is>
      </c>
      <c r="G65" s="28" t="inlineStr">
        <is>
          <t>N_kv</t>
        </is>
      </c>
      <c r="H65" s="28" t="inlineStr">
        <is>
          <t>head_dim</t>
        </is>
      </c>
      <c r="I65" s="28" t="inlineStr">
        <is>
          <t>Arch</t>
        </is>
      </c>
      <c r="J65" s="28" t="inlineStr">
        <is>
          <t>TS_max</t>
        </is>
      </c>
      <c r="K65" s="28" t="inlineStr">
        <is>
          <t>kv_lora_rank</t>
        </is>
      </c>
      <c r="L65" s="28" t="inlineStr">
        <is>
          <t>qk_rope_head_dim</t>
        </is>
      </c>
      <c r="M65" s="28" t="inlineStr">
        <is>
          <t>P_dense (B)</t>
        </is>
      </c>
      <c r="N65" s="28" t="inlineStr">
        <is>
          <t>P_moe (B)</t>
        </is>
      </c>
      <c r="O65" s="28" t="inlineStr">
        <is>
          <t>k_moe</t>
        </is>
      </c>
      <c r="P65" s="28" t="inlineStr">
        <is>
          <t>N_experts</t>
        </is>
      </c>
    </row>
    <row r="66">
      <c r="A66" s="29" t="inlineStr">
        <is>
          <t>Qwen3-30B-A3B</t>
        </is>
      </c>
      <c r="B66" s="29" t="n">
        <v>30</v>
      </c>
      <c r="C66" s="29" t="n">
        <v>3</v>
      </c>
      <c r="D66" s="29" t="n">
        <v>48</v>
      </c>
      <c r="E66" s="29" t="n">
        <v>2048</v>
      </c>
      <c r="F66" s="29" t="n">
        <v>32</v>
      </c>
      <c r="G66" s="29" t="n">
        <v>4</v>
      </c>
      <c r="H66" s="29" t="n">
        <v>128</v>
      </c>
      <c r="I66" s="29" t="inlineStr">
        <is>
          <t>MoE/GQA</t>
        </is>
      </c>
      <c r="J66" s="29" t="n">
        <v>40960</v>
      </c>
      <c r="K66" s="29" t="n">
        <v>0</v>
      </c>
      <c r="L66" s="29" t="n">
        <v>0</v>
      </c>
      <c r="M66" s="29" t="n">
        <v>1.54</v>
      </c>
      <c r="N66" s="29" t="n">
        <v>28.99</v>
      </c>
      <c r="O66" s="29" t="n">
        <v>8</v>
      </c>
      <c r="P66" s="29" t="n">
        <v>128</v>
      </c>
    </row>
    <row r="67">
      <c r="A67" s="29" t="inlineStr">
        <is>
          <t>Qwen3-32B</t>
        </is>
      </c>
      <c r="B67" s="29" t="n">
        <v>32</v>
      </c>
      <c r="C67" s="29" t="n">
        <v>32</v>
      </c>
      <c r="D67" s="29" t="n">
        <v>64</v>
      </c>
      <c r="E67" s="29" t="n">
        <v>5120</v>
      </c>
      <c r="F67" s="29" t="n">
        <v>64</v>
      </c>
      <c r="G67" s="29" t="n">
        <v>8</v>
      </c>
      <c r="H67" s="29" t="n">
        <v>128</v>
      </c>
      <c r="I67" s="29" t="inlineStr">
        <is>
          <t>dense/GQA</t>
        </is>
      </c>
      <c r="J67" s="29" t="n">
        <v>40960</v>
      </c>
      <c r="K67" s="29" t="n">
        <v>0</v>
      </c>
      <c r="L67" s="29" t="n">
        <v>0</v>
      </c>
      <c r="M67" s="29" t="n">
        <v>0</v>
      </c>
      <c r="N67" s="29" t="n">
        <v>0</v>
      </c>
      <c r="O67" s="29" t="n">
        <v>0</v>
      </c>
      <c r="P67" s="29" t="n">
        <v>0</v>
      </c>
    </row>
    <row r="68">
      <c r="A68" s="29" t="inlineStr">
        <is>
          <t>Qwen3-235B-A22B</t>
        </is>
      </c>
      <c r="B68" s="29" t="n">
        <v>235</v>
      </c>
      <c r="C68" s="29" t="n">
        <v>22</v>
      </c>
      <c r="D68" s="29" t="n">
        <v>94</v>
      </c>
      <c r="E68" s="29" t="n">
        <v>4096</v>
      </c>
      <c r="F68" s="29" t="n">
        <v>64</v>
      </c>
      <c r="G68" s="29" t="n">
        <v>4</v>
      </c>
      <c r="H68" s="29" t="n">
        <v>128</v>
      </c>
      <c r="I68" s="29" t="inlineStr">
        <is>
          <t>MoE/GQA</t>
        </is>
      </c>
      <c r="J68" s="29" t="n">
        <v>40960</v>
      </c>
      <c r="K68" s="29" t="n">
        <v>0</v>
      </c>
      <c r="L68" s="29" t="n">
        <v>0</v>
      </c>
      <c r="M68" s="29" t="n">
        <v>8</v>
      </c>
      <c r="N68" s="29" t="n">
        <v>227.1</v>
      </c>
      <c r="O68" s="29" t="n">
        <v>8</v>
      </c>
      <c r="P68" s="29" t="n">
        <v>128</v>
      </c>
    </row>
    <row r="69">
      <c r="A69" s="29" t="inlineStr">
        <is>
          <t>Qwen3-30B-A3B-Instruct-2507</t>
        </is>
      </c>
      <c r="B69" s="29" t="n">
        <v>30</v>
      </c>
      <c r="C69" s="29" t="n">
        <v>3</v>
      </c>
      <c r="D69" s="29" t="n">
        <v>48</v>
      </c>
      <c r="E69" s="29" t="n">
        <v>2048</v>
      </c>
      <c r="F69" s="29" t="n">
        <v>32</v>
      </c>
      <c r="G69" s="29" t="n">
        <v>4</v>
      </c>
      <c r="H69" s="29" t="n">
        <v>128</v>
      </c>
      <c r="I69" s="29" t="inlineStr">
        <is>
          <t>MoE/GQA</t>
        </is>
      </c>
      <c r="J69" s="29" t="n">
        <v>262144</v>
      </c>
      <c r="K69" s="29" t="n">
        <v>0</v>
      </c>
      <c r="L69" s="29" t="n">
        <v>0</v>
      </c>
      <c r="M69" s="29" t="n">
        <v>1.54</v>
      </c>
      <c r="N69" s="29" t="n">
        <v>28.99</v>
      </c>
      <c r="O69" s="29" t="n">
        <v>8</v>
      </c>
      <c r="P69" s="29" t="n">
        <v>128</v>
      </c>
    </row>
    <row r="70">
      <c r="A70" s="29" t="inlineStr">
        <is>
          <t>Qwen3-30B-A3B-Thinking-2507</t>
        </is>
      </c>
      <c r="B70" s="29" t="n">
        <v>30</v>
      </c>
      <c r="C70" s="29" t="n">
        <v>3</v>
      </c>
      <c r="D70" s="29" t="n">
        <v>48</v>
      </c>
      <c r="E70" s="29" t="n">
        <v>2048</v>
      </c>
      <c r="F70" s="29" t="n">
        <v>32</v>
      </c>
      <c r="G70" s="29" t="n">
        <v>4</v>
      </c>
      <c r="H70" s="29" t="n">
        <v>128</v>
      </c>
      <c r="I70" s="29" t="inlineStr">
        <is>
          <t>MoE/GQA</t>
        </is>
      </c>
      <c r="J70" s="29" t="n">
        <v>262144</v>
      </c>
      <c r="K70" s="29" t="n">
        <v>0</v>
      </c>
      <c r="L70" s="29" t="n">
        <v>0</v>
      </c>
      <c r="M70" s="29" t="n">
        <v>1.54</v>
      </c>
      <c r="N70" s="29" t="n">
        <v>28.99</v>
      </c>
      <c r="O70" s="29" t="n">
        <v>8</v>
      </c>
      <c r="P70" s="29" t="n">
        <v>128</v>
      </c>
    </row>
    <row r="71">
      <c r="A71" s="29" t="inlineStr">
        <is>
          <t>Qwen3-235B-A22B-Instruct-2507</t>
        </is>
      </c>
      <c r="B71" s="29" t="n">
        <v>235</v>
      </c>
      <c r="C71" s="29" t="n">
        <v>22</v>
      </c>
      <c r="D71" s="29" t="n">
        <v>94</v>
      </c>
      <c r="E71" s="29" t="n">
        <v>4096</v>
      </c>
      <c r="F71" s="29" t="n">
        <v>64</v>
      </c>
      <c r="G71" s="29" t="n">
        <v>4</v>
      </c>
      <c r="H71" s="29" t="n">
        <v>128</v>
      </c>
      <c r="I71" s="29" t="inlineStr">
        <is>
          <t>MoE/GQA</t>
        </is>
      </c>
      <c r="J71" s="29" t="n">
        <v>262144</v>
      </c>
      <c r="K71" s="29" t="n">
        <v>0</v>
      </c>
      <c r="L71" s="29" t="n">
        <v>0</v>
      </c>
      <c r="M71" s="29" t="n">
        <v>8</v>
      </c>
      <c r="N71" s="29" t="n">
        <v>227.1</v>
      </c>
      <c r="O71" s="29" t="n">
        <v>8</v>
      </c>
      <c r="P71" s="29" t="n">
        <v>128</v>
      </c>
    </row>
    <row r="72">
      <c r="A72" s="29" t="inlineStr">
        <is>
          <t>Qwen3-235B-A22B-Thinking-2507</t>
        </is>
      </c>
      <c r="B72" s="29" t="n">
        <v>235</v>
      </c>
      <c r="C72" s="29" t="n">
        <v>22</v>
      </c>
      <c r="D72" s="29" t="n">
        <v>94</v>
      </c>
      <c r="E72" s="29" t="n">
        <v>4096</v>
      </c>
      <c r="F72" s="29" t="n">
        <v>64</v>
      </c>
      <c r="G72" s="29" t="n">
        <v>4</v>
      </c>
      <c r="H72" s="29" t="n">
        <v>128</v>
      </c>
      <c r="I72" s="29" t="inlineStr">
        <is>
          <t>MoE/GQA</t>
        </is>
      </c>
      <c r="J72" s="29" t="n">
        <v>262144</v>
      </c>
      <c r="K72" s="29" t="n">
        <v>0</v>
      </c>
      <c r="L72" s="29" t="n">
        <v>0</v>
      </c>
      <c r="M72" s="29" t="n">
        <v>8</v>
      </c>
      <c r="N72" s="29" t="n">
        <v>227.1</v>
      </c>
      <c r="O72" s="29" t="n">
        <v>8</v>
      </c>
      <c r="P72" s="29" t="n">
        <v>128</v>
      </c>
    </row>
    <row r="73">
      <c r="A73" s="29" t="inlineStr">
        <is>
          <t>Qwen3-Coder-30B-A3B-Instruct</t>
        </is>
      </c>
      <c r="B73" s="29" t="n">
        <v>30</v>
      </c>
      <c r="C73" s="29" t="n">
        <v>3</v>
      </c>
      <c r="D73" s="29" t="n">
        <v>48</v>
      </c>
      <c r="E73" s="29" t="n">
        <v>2048</v>
      </c>
      <c r="F73" s="29" t="n">
        <v>32</v>
      </c>
      <c r="G73" s="29" t="n">
        <v>4</v>
      </c>
      <c r="H73" s="29" t="n">
        <v>128</v>
      </c>
      <c r="I73" s="29" t="inlineStr">
        <is>
          <t>MoE/GQA</t>
        </is>
      </c>
      <c r="J73" s="29" t="n">
        <v>262144</v>
      </c>
      <c r="K73" s="29" t="n">
        <v>0</v>
      </c>
      <c r="L73" s="29" t="n">
        <v>0</v>
      </c>
      <c r="M73" s="29" t="n">
        <v>1.54</v>
      </c>
      <c r="N73" s="29" t="n">
        <v>28.99</v>
      </c>
      <c r="O73" s="29" t="n">
        <v>8</v>
      </c>
      <c r="P73" s="29" t="n">
        <v>128</v>
      </c>
    </row>
    <row r="74">
      <c r="A74" s="29" t="inlineStr">
        <is>
          <t>Qwen3-Coder-480B-A35B-Instruct</t>
        </is>
      </c>
      <c r="B74" s="29" t="n">
        <v>480</v>
      </c>
      <c r="C74" s="29" t="n">
        <v>35</v>
      </c>
      <c r="D74" s="29" t="n">
        <v>62</v>
      </c>
      <c r="E74" s="29" t="n">
        <v>6144</v>
      </c>
      <c r="F74" s="29" t="n">
        <v>96</v>
      </c>
      <c r="G74" s="29" t="n">
        <v>8</v>
      </c>
      <c r="H74" s="29" t="n">
        <v>128</v>
      </c>
      <c r="I74" s="29" t="inlineStr">
        <is>
          <t>MoE/GQA</t>
        </is>
      </c>
      <c r="J74" s="29" t="n">
        <v>262144</v>
      </c>
      <c r="K74" s="29" t="n">
        <v>0</v>
      </c>
      <c r="L74" s="29" t="n">
        <v>0</v>
      </c>
      <c r="M74" s="29" t="n">
        <v>12.07</v>
      </c>
      <c r="N74" s="29" t="n">
        <v>468.08</v>
      </c>
      <c r="O74" s="29" t="n">
        <v>8</v>
      </c>
      <c r="P74" s="29" t="n">
        <v>160</v>
      </c>
    </row>
    <row r="75">
      <c r="A75" s="29" t="inlineStr">
        <is>
          <t>Qwen3.5-27B</t>
        </is>
      </c>
      <c r="B75" s="29" t="n">
        <v>27</v>
      </c>
      <c r="C75" s="29" t="n">
        <v>27</v>
      </c>
      <c r="D75" s="29" t="n">
        <v>64</v>
      </c>
      <c r="E75" s="29" t="n">
        <v>5120</v>
      </c>
      <c r="F75" s="29" t="n">
        <v>24</v>
      </c>
      <c r="G75" s="29" t="n">
        <v>4</v>
      </c>
      <c r="H75" s="29" t="n">
        <v>256</v>
      </c>
      <c r="I75" s="29" t="inlineStr">
        <is>
          <t>dense/GQA</t>
        </is>
      </c>
      <c r="J75" s="29" t="n">
        <v>262144</v>
      </c>
      <c r="K75" s="29" t="n">
        <v>0</v>
      </c>
      <c r="L75" s="29" t="n">
        <v>0</v>
      </c>
      <c r="M75" s="29" t="n">
        <v>0</v>
      </c>
      <c r="N75" s="29" t="n">
        <v>0</v>
      </c>
      <c r="O75" s="29" t="n">
        <v>0</v>
      </c>
      <c r="P75" s="29" t="n">
        <v>0</v>
      </c>
    </row>
    <row r="76">
      <c r="A76" s="29" t="inlineStr">
        <is>
          <t>Qwen3.5-35B-A3B</t>
        </is>
      </c>
      <c r="B76" s="29" t="n">
        <v>35</v>
      </c>
      <c r="C76" s="29" t="n">
        <v>3</v>
      </c>
      <c r="D76" s="29" t="n">
        <v>40</v>
      </c>
      <c r="E76" s="29" t="n">
        <v>2048</v>
      </c>
      <c r="F76" s="29" t="n">
        <v>16</v>
      </c>
      <c r="G76" s="29" t="n">
        <v>2</v>
      </c>
      <c r="H76" s="29" t="n">
        <v>256</v>
      </c>
      <c r="I76" s="29" t="inlineStr">
        <is>
          <t>MoE/GQA</t>
        </is>
      </c>
      <c r="J76" s="29" t="n">
        <v>262144</v>
      </c>
      <c r="K76" s="29" t="n">
        <v>0</v>
      </c>
      <c r="L76" s="29" t="n">
        <v>0</v>
      </c>
      <c r="M76" s="29" t="n">
        <v>2.79</v>
      </c>
      <c r="N76" s="29" t="n">
        <v>32.21</v>
      </c>
      <c r="O76" s="29" t="n">
        <v>8</v>
      </c>
      <c r="P76" s="29" t="n">
        <v>256</v>
      </c>
    </row>
    <row r="77">
      <c r="A77" s="29" t="inlineStr">
        <is>
          <t>Qwen3.5-122B-A10B</t>
        </is>
      </c>
      <c r="B77" s="29" t="n">
        <v>122</v>
      </c>
      <c r="C77" s="29" t="n">
        <v>10</v>
      </c>
      <c r="D77" s="29" t="n">
        <v>48</v>
      </c>
      <c r="E77" s="29" t="n">
        <v>3072</v>
      </c>
      <c r="F77" s="29" t="n">
        <v>32</v>
      </c>
      <c r="G77" s="29" t="n">
        <v>2</v>
      </c>
      <c r="H77" s="29" t="n">
        <v>256</v>
      </c>
      <c r="I77" s="29" t="inlineStr">
        <is>
          <t>MoE/GQA</t>
        </is>
      </c>
      <c r="J77" s="29" t="n">
        <v>262144</v>
      </c>
      <c r="K77" s="29" t="n">
        <v>0</v>
      </c>
      <c r="L77" s="29" t="n">
        <v>0</v>
      </c>
      <c r="M77" s="29" t="n">
        <v>5.85</v>
      </c>
      <c r="N77" s="29" t="n">
        <v>116.15</v>
      </c>
      <c r="O77" s="29" t="n">
        <v>8</v>
      </c>
      <c r="P77" s="29" t="n">
        <v>256</v>
      </c>
    </row>
    <row r="78">
      <c r="A78" s="29" t="inlineStr">
        <is>
          <t>Qwen3.6-27B</t>
        </is>
      </c>
      <c r="B78" s="29" t="n">
        <v>27</v>
      </c>
      <c r="C78" s="29" t="n">
        <v>27</v>
      </c>
      <c r="D78" s="29" t="n">
        <v>64</v>
      </c>
      <c r="E78" s="29" t="n">
        <v>5120</v>
      </c>
      <c r="F78" s="29" t="n">
        <v>24</v>
      </c>
      <c r="G78" s="29" t="n">
        <v>4</v>
      </c>
      <c r="H78" s="29" t="n">
        <v>256</v>
      </c>
      <c r="I78" s="29" t="inlineStr">
        <is>
          <t>dense/GQA</t>
        </is>
      </c>
      <c r="J78" s="29" t="n">
        <v>262144</v>
      </c>
      <c r="K78" s="29" t="n">
        <v>0</v>
      </c>
      <c r="L78" s="29" t="n">
        <v>0</v>
      </c>
      <c r="M78" s="29" t="n">
        <v>0</v>
      </c>
      <c r="N78" s="29" t="n">
        <v>0</v>
      </c>
      <c r="O78" s="29" t="n">
        <v>0</v>
      </c>
      <c r="P78" s="29" t="n">
        <v>0</v>
      </c>
    </row>
    <row r="79">
      <c r="A79" s="29" t="inlineStr">
        <is>
          <t>Qwen3.6-35B-A3B</t>
        </is>
      </c>
      <c r="B79" s="29" t="n">
        <v>35</v>
      </c>
      <c r="C79" s="29" t="n">
        <v>3</v>
      </c>
      <c r="D79" s="29" t="n">
        <v>40</v>
      </c>
      <c r="E79" s="29" t="n">
        <v>2048</v>
      </c>
      <c r="F79" s="29" t="n">
        <v>16</v>
      </c>
      <c r="G79" s="29" t="n">
        <v>2</v>
      </c>
      <c r="H79" s="29" t="n">
        <v>256</v>
      </c>
      <c r="I79" s="29" t="inlineStr">
        <is>
          <t>MoE/GQA</t>
        </is>
      </c>
      <c r="J79" s="29" t="n">
        <v>262144</v>
      </c>
      <c r="K79" s="29" t="n">
        <v>0</v>
      </c>
      <c r="L79" s="29" t="n">
        <v>0</v>
      </c>
      <c r="M79" s="29" t="n">
        <v>2.79</v>
      </c>
      <c r="N79" s="29" t="n">
        <v>32.21</v>
      </c>
      <c r="O79" s="29" t="n">
        <v>8</v>
      </c>
      <c r="P79" s="29" t="n">
        <v>256</v>
      </c>
    </row>
    <row r="80">
      <c r="A80" s="29" t="inlineStr">
        <is>
          <t>Llama-3.1-8B</t>
        </is>
      </c>
      <c r="B80" s="29" t="n">
        <v>8</v>
      </c>
      <c r="C80" s="29" t="n">
        <v>8</v>
      </c>
      <c r="D80" s="29" t="n">
        <v>32</v>
      </c>
      <c r="E80" s="29" t="n">
        <v>4096</v>
      </c>
      <c r="F80" s="29" t="n">
        <v>32</v>
      </c>
      <c r="G80" s="29" t="n">
        <v>8</v>
      </c>
      <c r="H80" s="29" t="n">
        <v>128</v>
      </c>
      <c r="I80" s="29" t="inlineStr">
        <is>
          <t>dense/GQA</t>
        </is>
      </c>
      <c r="J80" s="29" t="n">
        <v>131072</v>
      </c>
      <c r="K80" s="29" t="n">
        <v>0</v>
      </c>
      <c r="L80" s="29" t="n">
        <v>0</v>
      </c>
      <c r="M80" s="29" t="n">
        <v>0</v>
      </c>
      <c r="N80" s="29" t="n">
        <v>0</v>
      </c>
      <c r="O80" s="29" t="n">
        <v>0</v>
      </c>
      <c r="P80" s="29" t="n">
        <v>0</v>
      </c>
    </row>
    <row r="81">
      <c r="A81" s="29" t="inlineStr">
        <is>
          <t>Llama-3.1-70B</t>
        </is>
      </c>
      <c r="B81" s="29" t="n">
        <v>70</v>
      </c>
      <c r="C81" s="29" t="n">
        <v>70</v>
      </c>
      <c r="D81" s="29" t="n">
        <v>80</v>
      </c>
      <c r="E81" s="29" t="n">
        <v>8192</v>
      </c>
      <c r="F81" s="29" t="n">
        <v>64</v>
      </c>
      <c r="G81" s="29" t="n">
        <v>8</v>
      </c>
      <c r="H81" s="29" t="n">
        <v>128</v>
      </c>
      <c r="I81" s="29" t="inlineStr">
        <is>
          <t>dense/GQA</t>
        </is>
      </c>
      <c r="J81" s="29" t="n">
        <v>131072</v>
      </c>
      <c r="K81" s="29" t="n">
        <v>0</v>
      </c>
      <c r="L81" s="29" t="n">
        <v>0</v>
      </c>
      <c r="M81" s="29" t="n">
        <v>0</v>
      </c>
      <c r="N81" s="29" t="n">
        <v>0</v>
      </c>
      <c r="O81" s="29" t="n">
        <v>0</v>
      </c>
      <c r="P81" s="29" t="n">
        <v>0</v>
      </c>
    </row>
    <row r="82">
      <c r="A82" s="29" t="inlineStr">
        <is>
          <t>Llama-3.1-405B</t>
        </is>
      </c>
      <c r="B82" s="29" t="n">
        <v>405</v>
      </c>
      <c r="C82" s="29" t="n">
        <v>405</v>
      </c>
      <c r="D82" s="29" t="n">
        <v>126</v>
      </c>
      <c r="E82" s="29" t="n">
        <v>16384</v>
      </c>
      <c r="F82" s="29" t="n">
        <v>128</v>
      </c>
      <c r="G82" s="29" t="n">
        <v>8</v>
      </c>
      <c r="H82" s="29" t="n">
        <v>128</v>
      </c>
      <c r="I82" s="29" t="inlineStr">
        <is>
          <t>dense/GQA</t>
        </is>
      </c>
      <c r="J82" s="29" t="n">
        <v>131072</v>
      </c>
      <c r="K82" s="29" t="n">
        <v>0</v>
      </c>
      <c r="L82" s="29" t="n">
        <v>0</v>
      </c>
      <c r="M82" s="29" t="n">
        <v>0</v>
      </c>
      <c r="N82" s="29" t="n">
        <v>0</v>
      </c>
      <c r="O82" s="29" t="n">
        <v>0</v>
      </c>
      <c r="P82" s="29" t="n">
        <v>0</v>
      </c>
    </row>
    <row r="83">
      <c r="A83" s="29" t="inlineStr">
        <is>
          <t>Llama-3.3-70B</t>
        </is>
      </c>
      <c r="B83" s="29" t="n">
        <v>70</v>
      </c>
      <c r="C83" s="29" t="n">
        <v>70</v>
      </c>
      <c r="D83" s="29" t="n">
        <v>80</v>
      </c>
      <c r="E83" s="29" t="n">
        <v>8192</v>
      </c>
      <c r="F83" s="29" t="n">
        <v>64</v>
      </c>
      <c r="G83" s="29" t="n">
        <v>8</v>
      </c>
      <c r="H83" s="29" t="n">
        <v>128</v>
      </c>
      <c r="I83" s="29" t="inlineStr">
        <is>
          <t>dense/GQA</t>
        </is>
      </c>
      <c r="J83" s="29" t="n">
        <v>131072</v>
      </c>
      <c r="K83" s="29" t="n">
        <v>0</v>
      </c>
      <c r="L83" s="29" t="n">
        <v>0</v>
      </c>
      <c r="M83" s="29" t="n">
        <v>0</v>
      </c>
      <c r="N83" s="29" t="n">
        <v>0</v>
      </c>
      <c r="O83" s="29" t="n">
        <v>0</v>
      </c>
      <c r="P83" s="29" t="n">
        <v>0</v>
      </c>
    </row>
    <row r="84">
      <c r="A84" s="29" t="inlineStr">
        <is>
          <t>Mistral-Large-2</t>
        </is>
      </c>
      <c r="B84" s="29" t="n">
        <v>123</v>
      </c>
      <c r="C84" s="29" t="n">
        <v>123</v>
      </c>
      <c r="D84" s="29" t="n">
        <v>88</v>
      </c>
      <c r="E84" s="29" t="n">
        <v>12288</v>
      </c>
      <c r="F84" s="29" t="n">
        <v>96</v>
      </c>
      <c r="G84" s="29" t="n">
        <v>8</v>
      </c>
      <c r="H84" s="29" t="n">
        <v>128</v>
      </c>
      <c r="I84" s="29" t="inlineStr">
        <is>
          <t>dense/GQA</t>
        </is>
      </c>
      <c r="J84" s="29" t="n">
        <v>131072</v>
      </c>
      <c r="K84" s="29" t="n">
        <v>0</v>
      </c>
      <c r="L84" s="29" t="n">
        <v>0</v>
      </c>
      <c r="M84" s="29" t="n">
        <v>0</v>
      </c>
      <c r="N84" s="29" t="n">
        <v>0</v>
      </c>
      <c r="O84" s="29" t="n">
        <v>0</v>
      </c>
      <c r="P84" s="29" t="n">
        <v>0</v>
      </c>
    </row>
    <row r="85">
      <c r="A85" s="29" t="inlineStr">
        <is>
          <t>Mixtral-8x7B</t>
        </is>
      </c>
      <c r="B85" s="29" t="n">
        <v>47</v>
      </c>
      <c r="C85" s="29" t="n">
        <v>13</v>
      </c>
      <c r="D85" s="29" t="n">
        <v>32</v>
      </c>
      <c r="E85" s="29" t="n">
        <v>4096</v>
      </c>
      <c r="F85" s="29" t="n">
        <v>32</v>
      </c>
      <c r="G85" s="29" t="n">
        <v>8</v>
      </c>
      <c r="H85" s="29" t="n">
        <v>128</v>
      </c>
      <c r="I85" s="29" t="inlineStr">
        <is>
          <t>MoE/GQA</t>
        </is>
      </c>
      <c r="J85" s="29" t="n">
        <v>32768</v>
      </c>
      <c r="K85" s="29" t="n">
        <v>0</v>
      </c>
      <c r="L85" s="29" t="n">
        <v>0</v>
      </c>
      <c r="M85" s="29" t="n">
        <v>1.61</v>
      </c>
      <c r="N85" s="29" t="n">
        <v>45.1</v>
      </c>
      <c r="O85" s="29" t="n">
        <v>2</v>
      </c>
      <c r="P85" s="29" t="n">
        <v>8</v>
      </c>
    </row>
    <row r="86">
      <c r="A86" s="29" t="inlineStr">
        <is>
          <t>Mixtral-8x22B</t>
        </is>
      </c>
      <c r="B86" s="29" t="n">
        <v>141</v>
      </c>
      <c r="C86" s="29" t="n">
        <v>39</v>
      </c>
      <c r="D86" s="29" t="n">
        <v>56</v>
      </c>
      <c r="E86" s="29" t="n">
        <v>6144</v>
      </c>
      <c r="F86" s="29" t="n">
        <v>48</v>
      </c>
      <c r="G86" s="29" t="n">
        <v>8</v>
      </c>
      <c r="H86" s="29" t="n">
        <v>128</v>
      </c>
      <c r="I86" s="29" t="inlineStr">
        <is>
          <t>MoE/GQA</t>
        </is>
      </c>
      <c r="J86" s="29" t="n">
        <v>65536</v>
      </c>
      <c r="K86" s="29" t="n">
        <v>0</v>
      </c>
      <c r="L86" s="29" t="n">
        <v>0</v>
      </c>
      <c r="M86" s="29" t="n">
        <v>5.33</v>
      </c>
      <c r="N86" s="29" t="n">
        <v>135.29</v>
      </c>
      <c r="O86" s="29" t="n">
        <v>2</v>
      </c>
      <c r="P86" s="29" t="n">
        <v>8</v>
      </c>
    </row>
    <row r="87">
      <c r="A87" s="29" t="inlineStr">
        <is>
          <t>DeepSeek-V3</t>
        </is>
      </c>
      <c r="B87" s="29" t="n">
        <v>671</v>
      </c>
      <c r="C87" s="29" t="n">
        <v>37</v>
      </c>
      <c r="D87" s="29" t="n">
        <v>61</v>
      </c>
      <c r="E87" s="29" t="n">
        <v>7168</v>
      </c>
      <c r="F87" s="29" t="n">
        <v>128</v>
      </c>
      <c r="G87" s="29" t="n">
        <v>128</v>
      </c>
      <c r="H87" s="29" t="n">
        <v>192</v>
      </c>
      <c r="I87" s="29" t="inlineStr">
        <is>
          <t>MoE/MLA</t>
        </is>
      </c>
      <c r="J87" s="29" t="n">
        <v>163840</v>
      </c>
      <c r="K87" s="29" t="n">
        <v>512</v>
      </c>
      <c r="L87" s="29" t="n">
        <v>64</v>
      </c>
      <c r="M87" s="29" t="n">
        <v>17.12</v>
      </c>
      <c r="N87" s="29" t="n">
        <v>653.91</v>
      </c>
      <c r="O87" s="29" t="n">
        <v>8</v>
      </c>
      <c r="P87" s="29" t="n">
        <v>256</v>
      </c>
    </row>
    <row r="88">
      <c r="A88" s="29" t="inlineStr">
        <is>
          <t>DeepSeek-R1</t>
        </is>
      </c>
      <c r="B88" s="29" t="n">
        <v>671</v>
      </c>
      <c r="C88" s="29" t="n">
        <v>37</v>
      </c>
      <c r="D88" s="29" t="n">
        <v>61</v>
      </c>
      <c r="E88" s="29" t="n">
        <v>7168</v>
      </c>
      <c r="F88" s="29" t="n">
        <v>128</v>
      </c>
      <c r="G88" s="29" t="n">
        <v>128</v>
      </c>
      <c r="H88" s="29" t="n">
        <v>192</v>
      </c>
      <c r="I88" s="29" t="inlineStr">
        <is>
          <t>MoE/MLA</t>
        </is>
      </c>
      <c r="J88" s="29" t="n">
        <v>163840</v>
      </c>
      <c r="K88" s="29" t="n">
        <v>512</v>
      </c>
      <c r="L88" s="29" t="n">
        <v>64</v>
      </c>
      <c r="M88" s="29" t="n">
        <v>17.12</v>
      </c>
      <c r="N88" s="29" t="n">
        <v>653.91</v>
      </c>
      <c r="O88" s="29" t="n">
        <v>8</v>
      </c>
      <c r="P88" s="29" t="n">
        <v>256</v>
      </c>
    </row>
    <row r="89">
      <c r="A89" s="29" t="inlineStr">
        <is>
          <t>Qwen2.5-0.5B</t>
        </is>
      </c>
      <c r="B89" s="29" t="n">
        <v>0.5</v>
      </c>
      <c r="C89" s="29" t="n">
        <v>0.5</v>
      </c>
      <c r="D89" s="29" t="n">
        <v>24</v>
      </c>
      <c r="E89" s="29" t="n">
        <v>896</v>
      </c>
      <c r="F89" s="29" t="n">
        <v>14</v>
      </c>
      <c r="G89" s="29" t="n">
        <v>2</v>
      </c>
      <c r="H89" s="29" t="n">
        <v>64</v>
      </c>
      <c r="I89" s="29" t="inlineStr">
        <is>
          <t>dense/GQA</t>
        </is>
      </c>
      <c r="J89" s="29" t="n">
        <v>32768</v>
      </c>
      <c r="K89" s="29" t="n">
        <v>0</v>
      </c>
      <c r="L89" s="29" t="n">
        <v>0</v>
      </c>
      <c r="M89" s="29" t="n">
        <v>0</v>
      </c>
      <c r="N89" s="29" t="n">
        <v>0</v>
      </c>
      <c r="O89" s="29" t="n">
        <v>0</v>
      </c>
      <c r="P89" s="29" t="n">
        <v>0</v>
      </c>
    </row>
    <row r="90">
      <c r="A90" s="29" t="inlineStr">
        <is>
          <t>Qwen2.5-1.5B</t>
        </is>
      </c>
      <c r="B90" s="29" t="n">
        <v>1.5</v>
      </c>
      <c r="C90" s="29" t="n">
        <v>1.5</v>
      </c>
      <c r="D90" s="29" t="n">
        <v>28</v>
      </c>
      <c r="E90" s="29" t="n">
        <v>1536</v>
      </c>
      <c r="F90" s="29" t="n">
        <v>12</v>
      </c>
      <c r="G90" s="29" t="n">
        <v>2</v>
      </c>
      <c r="H90" s="29" t="n">
        <v>128</v>
      </c>
      <c r="I90" s="29" t="inlineStr">
        <is>
          <t>dense/GQA</t>
        </is>
      </c>
      <c r="J90" s="29" t="n">
        <v>131072</v>
      </c>
      <c r="K90" s="29" t="n">
        <v>0</v>
      </c>
      <c r="L90" s="29" t="n">
        <v>0</v>
      </c>
      <c r="M90" s="29" t="n">
        <v>0</v>
      </c>
      <c r="N90" s="29" t="n">
        <v>0</v>
      </c>
      <c r="O90" s="29" t="n">
        <v>0</v>
      </c>
      <c r="P90" s="29" t="n">
        <v>0</v>
      </c>
    </row>
    <row r="91">
      <c r="A91" s="29" t="inlineStr">
        <is>
          <t>Qwen2.5-3B</t>
        </is>
      </c>
      <c r="B91" s="29" t="n">
        <v>3</v>
      </c>
      <c r="C91" s="29" t="n">
        <v>3</v>
      </c>
      <c r="D91" s="29" t="n">
        <v>36</v>
      </c>
      <c r="E91" s="29" t="n">
        <v>2048</v>
      </c>
      <c r="F91" s="29" t="n">
        <v>16</v>
      </c>
      <c r="G91" s="29" t="n">
        <v>2</v>
      </c>
      <c r="H91" s="29" t="n">
        <v>128</v>
      </c>
      <c r="I91" s="29" t="inlineStr">
        <is>
          <t>dense/GQA</t>
        </is>
      </c>
      <c r="J91" s="29" t="n">
        <v>32768</v>
      </c>
      <c r="K91" s="29" t="n">
        <v>0</v>
      </c>
      <c r="L91" s="29" t="n">
        <v>0</v>
      </c>
      <c r="M91" s="29" t="n">
        <v>0</v>
      </c>
      <c r="N91" s="29" t="n">
        <v>0</v>
      </c>
      <c r="O91" s="29" t="n">
        <v>0</v>
      </c>
      <c r="P91" s="29" t="n">
        <v>0</v>
      </c>
    </row>
    <row r="92">
      <c r="A92" s="29" t="inlineStr">
        <is>
          <t>Qwen2.5-7B</t>
        </is>
      </c>
      <c r="B92" s="29" t="n">
        <v>7</v>
      </c>
      <c r="C92" s="29" t="n">
        <v>7</v>
      </c>
      <c r="D92" s="29" t="n">
        <v>28</v>
      </c>
      <c r="E92" s="29" t="n">
        <v>3584</v>
      </c>
      <c r="F92" s="29" t="n">
        <v>28</v>
      </c>
      <c r="G92" s="29" t="n">
        <v>4</v>
      </c>
      <c r="H92" s="29" t="n">
        <v>128</v>
      </c>
      <c r="I92" s="29" t="inlineStr">
        <is>
          <t>dense/GQA</t>
        </is>
      </c>
      <c r="J92" s="29" t="n">
        <v>131072</v>
      </c>
      <c r="K92" s="29" t="n">
        <v>0</v>
      </c>
      <c r="L92" s="29" t="n">
        <v>0</v>
      </c>
      <c r="M92" s="29" t="n">
        <v>0</v>
      </c>
      <c r="N92" s="29" t="n">
        <v>0</v>
      </c>
      <c r="O92" s="29" t="n">
        <v>0</v>
      </c>
      <c r="P92" s="29" t="n">
        <v>0</v>
      </c>
    </row>
    <row r="93">
      <c r="A93" s="29" t="inlineStr">
        <is>
          <t>Qwen2.5-14B</t>
        </is>
      </c>
      <c r="B93" s="29" t="n">
        <v>14</v>
      </c>
      <c r="C93" s="29" t="n">
        <v>14</v>
      </c>
      <c r="D93" s="29" t="n">
        <v>48</v>
      </c>
      <c r="E93" s="29" t="n">
        <v>5120</v>
      </c>
      <c r="F93" s="29" t="n">
        <v>40</v>
      </c>
      <c r="G93" s="29" t="n">
        <v>8</v>
      </c>
      <c r="H93" s="29" t="n">
        <v>128</v>
      </c>
      <c r="I93" s="29" t="inlineStr">
        <is>
          <t>dense/GQA</t>
        </is>
      </c>
      <c r="J93" s="29" t="n">
        <v>131072</v>
      </c>
      <c r="K93" s="29" t="n">
        <v>0</v>
      </c>
      <c r="L93" s="29" t="n">
        <v>0</v>
      </c>
      <c r="M93" s="29" t="n">
        <v>0</v>
      </c>
      <c r="N93" s="29" t="n">
        <v>0</v>
      </c>
      <c r="O93" s="29" t="n">
        <v>0</v>
      </c>
      <c r="P93" s="29" t="n">
        <v>0</v>
      </c>
    </row>
    <row r="94">
      <c r="A94" s="29" t="inlineStr">
        <is>
          <t>Qwen2.5-32B</t>
        </is>
      </c>
      <c r="B94" s="29" t="n">
        <v>32</v>
      </c>
      <c r="C94" s="29" t="n">
        <v>32</v>
      </c>
      <c r="D94" s="29" t="n">
        <v>64</v>
      </c>
      <c r="E94" s="29" t="n">
        <v>5120</v>
      </c>
      <c r="F94" s="29" t="n">
        <v>40</v>
      </c>
      <c r="G94" s="29" t="n">
        <v>8</v>
      </c>
      <c r="H94" s="29" t="n">
        <v>128</v>
      </c>
      <c r="I94" s="29" t="inlineStr">
        <is>
          <t>dense/GQA</t>
        </is>
      </c>
      <c r="J94" s="29" t="n">
        <v>131072</v>
      </c>
      <c r="K94" s="29" t="n">
        <v>0</v>
      </c>
      <c r="L94" s="29" t="n">
        <v>0</v>
      </c>
      <c r="M94" s="29" t="n">
        <v>0</v>
      </c>
      <c r="N94" s="29" t="n">
        <v>0</v>
      </c>
      <c r="O94" s="29" t="n">
        <v>0</v>
      </c>
      <c r="P94" s="29" t="n">
        <v>0</v>
      </c>
    </row>
    <row r="95">
      <c r="A95" s="29" t="inlineStr">
        <is>
          <t>Qwen2.5-72B</t>
        </is>
      </c>
      <c r="B95" s="29" t="n">
        <v>72</v>
      </c>
      <c r="C95" s="29" t="n">
        <v>72</v>
      </c>
      <c r="D95" s="29" t="n">
        <v>80</v>
      </c>
      <c r="E95" s="29" t="n">
        <v>8192</v>
      </c>
      <c r="F95" s="29" t="n">
        <v>64</v>
      </c>
      <c r="G95" s="29" t="n">
        <v>8</v>
      </c>
      <c r="H95" s="29" t="n">
        <v>128</v>
      </c>
      <c r="I95" s="29" t="inlineStr">
        <is>
          <t>dense/GQA</t>
        </is>
      </c>
      <c r="J95" s="29" t="n">
        <v>131072</v>
      </c>
      <c r="K95" s="29" t="n">
        <v>0</v>
      </c>
      <c r="L95" s="29" t="n">
        <v>0</v>
      </c>
      <c r="M95" s="29" t="n">
        <v>0</v>
      </c>
      <c r="N95" s="29" t="n">
        <v>0</v>
      </c>
      <c r="O95" s="29" t="n">
        <v>0</v>
      </c>
      <c r="P95" s="29" t="n">
        <v>0</v>
      </c>
    </row>
    <row r="96">
      <c r="A96" s="29" t="inlineStr">
        <is>
          <t>Qwen2.5-Coder-7B</t>
        </is>
      </c>
      <c r="B96" s="29" t="n">
        <v>7</v>
      </c>
      <c r="C96" s="29" t="n">
        <v>7</v>
      </c>
      <c r="D96" s="29" t="n">
        <v>28</v>
      </c>
      <c r="E96" s="29" t="n">
        <v>3584</v>
      </c>
      <c r="F96" s="29" t="n">
        <v>28</v>
      </c>
      <c r="G96" s="29" t="n">
        <v>4</v>
      </c>
      <c r="H96" s="29" t="n">
        <v>128</v>
      </c>
      <c r="I96" s="29" t="inlineStr">
        <is>
          <t>dense/GQA</t>
        </is>
      </c>
      <c r="J96" s="29" t="n">
        <v>32768</v>
      </c>
      <c r="K96" s="29" t="n">
        <v>0</v>
      </c>
      <c r="L96" s="29" t="n">
        <v>0</v>
      </c>
      <c r="M96" s="29" t="n">
        <v>0</v>
      </c>
      <c r="N96" s="29" t="n">
        <v>0</v>
      </c>
      <c r="O96" s="29" t="n">
        <v>0</v>
      </c>
      <c r="P96" s="29" t="n">
        <v>0</v>
      </c>
    </row>
    <row r="97">
      <c r="A97" s="29" t="inlineStr">
        <is>
          <t>Qwen2.5-Coder-14B</t>
        </is>
      </c>
      <c r="B97" s="29" t="n">
        <v>14</v>
      </c>
      <c r="C97" s="29" t="n">
        <v>14</v>
      </c>
      <c r="D97" s="29" t="n">
        <v>48</v>
      </c>
      <c r="E97" s="29" t="n">
        <v>5120</v>
      </c>
      <c r="F97" s="29" t="n">
        <v>40</v>
      </c>
      <c r="G97" s="29" t="n">
        <v>8</v>
      </c>
      <c r="H97" s="29" t="n">
        <v>128</v>
      </c>
      <c r="I97" s="29" t="inlineStr">
        <is>
          <t>dense/GQA</t>
        </is>
      </c>
      <c r="J97" s="29" t="n">
        <v>32768</v>
      </c>
      <c r="K97" s="29" t="n">
        <v>0</v>
      </c>
      <c r="L97" s="29" t="n">
        <v>0</v>
      </c>
      <c r="M97" s="29" t="n">
        <v>0</v>
      </c>
      <c r="N97" s="29" t="n">
        <v>0</v>
      </c>
      <c r="O97" s="29" t="n">
        <v>0</v>
      </c>
      <c r="P97" s="29" t="n">
        <v>0</v>
      </c>
    </row>
    <row r="98">
      <c r="A98" s="29" t="inlineStr">
        <is>
          <t>Qwen2.5-Coder-32B</t>
        </is>
      </c>
      <c r="B98" s="29" t="n">
        <v>32</v>
      </c>
      <c r="C98" s="29" t="n">
        <v>32</v>
      </c>
      <c r="D98" s="29" t="n">
        <v>64</v>
      </c>
      <c r="E98" s="29" t="n">
        <v>5120</v>
      </c>
      <c r="F98" s="29" t="n">
        <v>40</v>
      </c>
      <c r="G98" s="29" t="n">
        <v>8</v>
      </c>
      <c r="H98" s="29" t="n">
        <v>128</v>
      </c>
      <c r="I98" s="29" t="inlineStr">
        <is>
          <t>dense/GQA</t>
        </is>
      </c>
      <c r="J98" s="29" t="n">
        <v>32768</v>
      </c>
      <c r="K98" s="29" t="n">
        <v>0</v>
      </c>
      <c r="L98" s="29" t="n">
        <v>0</v>
      </c>
      <c r="M98" s="29" t="n">
        <v>0</v>
      </c>
      <c r="N98" s="29" t="n">
        <v>0</v>
      </c>
      <c r="O98" s="29" t="n">
        <v>0</v>
      </c>
      <c r="P98" s="29" t="n">
        <v>0</v>
      </c>
    </row>
    <row r="99">
      <c r="A99" s="29" t="inlineStr">
        <is>
          <t>Llama-3.2-1B</t>
        </is>
      </c>
      <c r="B99" s="29" t="n">
        <v>1</v>
      </c>
      <c r="C99" s="29" t="n">
        <v>1</v>
      </c>
      <c r="D99" s="29" t="n">
        <v>16</v>
      </c>
      <c r="E99" s="29" t="n">
        <v>2048</v>
      </c>
      <c r="F99" s="29" t="n">
        <v>32</v>
      </c>
      <c r="G99" s="29" t="n">
        <v>8</v>
      </c>
      <c r="H99" s="29" t="n">
        <v>64</v>
      </c>
      <c r="I99" s="29" t="inlineStr">
        <is>
          <t>dense/GQA</t>
        </is>
      </c>
      <c r="J99" s="29" t="n">
        <v>131072</v>
      </c>
      <c r="K99" s="29" t="n">
        <v>0</v>
      </c>
      <c r="L99" s="29" t="n">
        <v>0</v>
      </c>
      <c r="M99" s="29" t="n">
        <v>0</v>
      </c>
      <c r="N99" s="29" t="n">
        <v>0</v>
      </c>
      <c r="O99" s="29" t="n">
        <v>0</v>
      </c>
      <c r="P99" s="29" t="n">
        <v>0</v>
      </c>
    </row>
    <row r="100">
      <c r="A100" s="29" t="inlineStr">
        <is>
          <t>Llama-3.2-3B</t>
        </is>
      </c>
      <c r="B100" s="29" t="n">
        <v>3</v>
      </c>
      <c r="C100" s="29" t="n">
        <v>3</v>
      </c>
      <c r="D100" s="29" t="n">
        <v>28</v>
      </c>
      <c r="E100" s="29" t="n">
        <v>3072</v>
      </c>
      <c r="F100" s="29" t="n">
        <v>24</v>
      </c>
      <c r="G100" s="29" t="n">
        <v>8</v>
      </c>
      <c r="H100" s="29" t="n">
        <v>128</v>
      </c>
      <c r="I100" s="29" t="inlineStr">
        <is>
          <t>dense/GQA</t>
        </is>
      </c>
      <c r="J100" s="29" t="n">
        <v>131072</v>
      </c>
      <c r="K100" s="29" t="n">
        <v>0</v>
      </c>
      <c r="L100" s="29" t="n">
        <v>0</v>
      </c>
      <c r="M100" s="29" t="n">
        <v>0</v>
      </c>
      <c r="N100" s="29" t="n">
        <v>0</v>
      </c>
      <c r="O100" s="29" t="n">
        <v>0</v>
      </c>
      <c r="P100" s="29" t="n">
        <v>0</v>
      </c>
    </row>
    <row r="101">
      <c r="A101" s="29" t="inlineStr">
        <is>
          <t>Gemma-3-4B</t>
        </is>
      </c>
      <c r="B101" s="29" t="n">
        <v>4</v>
      </c>
      <c r="C101" s="29" t="n">
        <v>4</v>
      </c>
      <c r="D101" s="29" t="n">
        <v>34</v>
      </c>
      <c r="E101" s="29" t="n">
        <v>2560</v>
      </c>
      <c r="F101" s="29" t="n">
        <v>8</v>
      </c>
      <c r="G101" s="29" t="n">
        <v>4</v>
      </c>
      <c r="H101" s="29" t="n">
        <v>256</v>
      </c>
      <c r="I101" s="29" t="inlineStr">
        <is>
          <t>dense/GQA</t>
        </is>
      </c>
      <c r="J101" s="29" t="n">
        <v>131072</v>
      </c>
      <c r="K101" s="29" t="n">
        <v>0</v>
      </c>
      <c r="L101" s="29" t="n">
        <v>0</v>
      </c>
      <c r="M101" s="29" t="n">
        <v>0</v>
      </c>
      <c r="N101" s="29" t="n">
        <v>0</v>
      </c>
      <c r="O101" s="29" t="n">
        <v>0</v>
      </c>
      <c r="P101" s="29" t="n">
        <v>0</v>
      </c>
    </row>
    <row r="102">
      <c r="A102" s="29" t="inlineStr">
        <is>
          <t>Gemma-3-12B</t>
        </is>
      </c>
      <c r="B102" s="29" t="n">
        <v>12</v>
      </c>
      <c r="C102" s="29" t="n">
        <v>12</v>
      </c>
      <c r="D102" s="29" t="n">
        <v>48</v>
      </c>
      <c r="E102" s="29" t="n">
        <v>3840</v>
      </c>
      <c r="F102" s="29" t="n">
        <v>16</v>
      </c>
      <c r="G102" s="29" t="n">
        <v>8</v>
      </c>
      <c r="H102" s="29" t="n">
        <v>256</v>
      </c>
      <c r="I102" s="29" t="inlineStr">
        <is>
          <t>dense/GQA</t>
        </is>
      </c>
      <c r="J102" s="29" t="n">
        <v>131072</v>
      </c>
      <c r="K102" s="29" t="n">
        <v>0</v>
      </c>
      <c r="L102" s="29" t="n">
        <v>0</v>
      </c>
      <c r="M102" s="29" t="n">
        <v>0</v>
      </c>
      <c r="N102" s="29" t="n">
        <v>0</v>
      </c>
      <c r="O102" s="29" t="n">
        <v>0</v>
      </c>
      <c r="P102" s="29" t="n">
        <v>0</v>
      </c>
    </row>
    <row r="103">
      <c r="A103" s="29" t="inlineStr">
        <is>
          <t>Gemma-3-27B</t>
        </is>
      </c>
      <c r="B103" s="29" t="n">
        <v>27</v>
      </c>
      <c r="C103" s="29" t="n">
        <v>27</v>
      </c>
      <c r="D103" s="29" t="n">
        <v>62</v>
      </c>
      <c r="E103" s="29" t="n">
        <v>5376</v>
      </c>
      <c r="F103" s="29" t="n">
        <v>32</v>
      </c>
      <c r="G103" s="29" t="n">
        <v>16</v>
      </c>
      <c r="H103" s="29" t="n">
        <v>128</v>
      </c>
      <c r="I103" s="29" t="inlineStr">
        <is>
          <t>dense/GQA</t>
        </is>
      </c>
      <c r="J103" s="29" t="n">
        <v>131072</v>
      </c>
      <c r="K103" s="29" t="n">
        <v>0</v>
      </c>
      <c r="L103" s="29" t="n">
        <v>0</v>
      </c>
      <c r="M103" s="29" t="n">
        <v>0</v>
      </c>
      <c r="N103" s="29" t="n">
        <v>0</v>
      </c>
      <c r="O103" s="29" t="n">
        <v>0</v>
      </c>
      <c r="P103" s="29" t="n">
        <v>0</v>
      </c>
    </row>
    <row r="104">
      <c r="A104" s="29" t="inlineStr">
        <is>
          <t>Phi-3.5-mini-3.8B</t>
        </is>
      </c>
      <c r="B104" s="29" t="n">
        <v>3.8</v>
      </c>
      <c r="C104" s="29" t="n">
        <v>3.8</v>
      </c>
      <c r="D104" s="29" t="n">
        <v>32</v>
      </c>
      <c r="E104" s="29" t="n">
        <v>3072</v>
      </c>
      <c r="F104" s="29" t="n">
        <v>32</v>
      </c>
      <c r="G104" s="29" t="n">
        <v>32</v>
      </c>
      <c r="H104" s="29" t="n">
        <v>96</v>
      </c>
      <c r="I104" s="29" t="inlineStr">
        <is>
          <t>dense/MHA</t>
        </is>
      </c>
      <c r="J104" s="29" t="n">
        <v>131072</v>
      </c>
      <c r="K104" s="29" t="n">
        <v>0</v>
      </c>
      <c r="L104" s="29" t="n">
        <v>0</v>
      </c>
      <c r="M104" s="29" t="n">
        <v>0</v>
      </c>
      <c r="N104" s="29" t="n">
        <v>0</v>
      </c>
      <c r="O104" s="29" t="n">
        <v>0</v>
      </c>
      <c r="P104" s="29" t="n">
        <v>0</v>
      </c>
    </row>
    <row r="105">
      <c r="A105" s="29" t="inlineStr">
        <is>
          <t>Phi-3.5-MoE-42B</t>
        </is>
      </c>
      <c r="B105" s="29" t="n">
        <v>42</v>
      </c>
      <c r="C105" s="29" t="n">
        <v>6.6</v>
      </c>
      <c r="D105" s="29" t="n">
        <v>32</v>
      </c>
      <c r="E105" s="29" t="n">
        <v>4096</v>
      </c>
      <c r="F105" s="29" t="n">
        <v>32</v>
      </c>
      <c r="G105" s="29" t="n">
        <v>8</v>
      </c>
      <c r="H105" s="29" t="n">
        <v>128</v>
      </c>
      <c r="I105" s="29" t="inlineStr">
        <is>
          <t>MoE/GQA</t>
        </is>
      </c>
      <c r="J105" s="29" t="n">
        <v>131072</v>
      </c>
      <c r="K105" s="29" t="n">
        <v>0</v>
      </c>
      <c r="L105" s="29" t="n">
        <v>0</v>
      </c>
      <c r="M105" s="29" t="n">
        <v>1.5</v>
      </c>
      <c r="N105" s="29" t="n">
        <v>40.5</v>
      </c>
      <c r="O105" s="29" t="n">
        <v>2</v>
      </c>
      <c r="P105" s="29" t="n">
        <v>16</v>
      </c>
    </row>
    <row r="106">
      <c r="A106" s="29" t="inlineStr">
        <is>
          <t>DeepSeek-V2-236B</t>
        </is>
      </c>
      <c r="B106" s="29" t="n">
        <v>236</v>
      </c>
      <c r="C106" s="29" t="n">
        <v>21</v>
      </c>
      <c r="D106" s="29" t="n">
        <v>60</v>
      </c>
      <c r="E106" s="29" t="n">
        <v>5120</v>
      </c>
      <c r="F106" s="29" t="n">
        <v>128</v>
      </c>
      <c r="G106" s="29" t="n">
        <v>128</v>
      </c>
      <c r="H106" s="29" t="n">
        <v>192</v>
      </c>
      <c r="I106" s="29" t="inlineStr">
        <is>
          <t>MoE/MLA</t>
        </is>
      </c>
      <c r="J106" s="29" t="n">
        <v>163840</v>
      </c>
      <c r="K106" s="29" t="n">
        <v>512</v>
      </c>
      <c r="L106" s="29" t="n">
        <v>64</v>
      </c>
      <c r="M106" s="29" t="n">
        <v>13.02</v>
      </c>
      <c r="N106" s="29" t="n">
        <v>222.72</v>
      </c>
      <c r="O106" s="29" t="n">
        <v>6</v>
      </c>
      <c r="P106" s="29" t="n">
        <v>160</v>
      </c>
    </row>
    <row r="107">
      <c r="A107" s="29" t="inlineStr">
        <is>
          <t>DeepSeek-V2.5-236B</t>
        </is>
      </c>
      <c r="B107" s="29" t="n">
        <v>236</v>
      </c>
      <c r="C107" s="29" t="n">
        <v>21</v>
      </c>
      <c r="D107" s="29" t="n">
        <v>60</v>
      </c>
      <c r="E107" s="29" t="n">
        <v>5120</v>
      </c>
      <c r="F107" s="29" t="n">
        <v>128</v>
      </c>
      <c r="G107" s="29" t="n">
        <v>128</v>
      </c>
      <c r="H107" s="29" t="n">
        <v>192</v>
      </c>
      <c r="I107" s="29" t="inlineStr">
        <is>
          <t>MoE/MLA</t>
        </is>
      </c>
      <c r="J107" s="29" t="n">
        <v>163840</v>
      </c>
      <c r="K107" s="29" t="n">
        <v>512</v>
      </c>
      <c r="L107" s="29" t="n">
        <v>64</v>
      </c>
      <c r="M107" s="29" t="n">
        <v>13.02</v>
      </c>
      <c r="N107" s="29" t="n">
        <v>222.72</v>
      </c>
      <c r="O107" s="29" t="n">
        <v>6</v>
      </c>
      <c r="P107" s="29" t="n">
        <v>160</v>
      </c>
    </row>
    <row r="108">
      <c r="A108" s="29" t="inlineStr">
        <is>
          <t>DeepSeek-V2-Lite-16B</t>
        </is>
      </c>
      <c r="B108" s="29" t="n">
        <v>16</v>
      </c>
      <c r="C108" s="29" t="n">
        <v>2.4</v>
      </c>
      <c r="D108" s="29" t="n">
        <v>27</v>
      </c>
      <c r="E108" s="29" t="n">
        <v>2048</v>
      </c>
      <c r="F108" s="29" t="n">
        <v>16</v>
      </c>
      <c r="G108" s="29" t="n">
        <v>16</v>
      </c>
      <c r="H108" s="29" t="n">
        <v>192</v>
      </c>
      <c r="I108" s="29" t="inlineStr">
        <is>
          <t>MoE/MLA</t>
        </is>
      </c>
      <c r="J108" s="29" t="n">
        <v>163840</v>
      </c>
      <c r="K108" s="29" t="n">
        <v>512</v>
      </c>
      <c r="L108" s="29" t="n">
        <v>64</v>
      </c>
      <c r="M108" s="29" t="n">
        <v>1.31</v>
      </c>
      <c r="N108" s="29" t="n">
        <v>14.39</v>
      </c>
      <c r="O108" s="29" t="n">
        <v>6</v>
      </c>
      <c r="P108" s="29" t="n">
        <v>64</v>
      </c>
    </row>
    <row r="109">
      <c r="A109" s="29" t="inlineStr">
        <is>
          <t>Command-R-35B</t>
        </is>
      </c>
      <c r="B109" s="29" t="n">
        <v>35</v>
      </c>
      <c r="C109" s="29" t="n">
        <v>35</v>
      </c>
      <c r="D109" s="29" t="n">
        <v>40</v>
      </c>
      <c r="E109" s="29" t="n">
        <v>8192</v>
      </c>
      <c r="F109" s="29" t="n">
        <v>64</v>
      </c>
      <c r="G109" s="29" t="n">
        <v>64</v>
      </c>
      <c r="H109" s="29" t="n">
        <v>128</v>
      </c>
      <c r="I109" s="29" t="inlineStr">
        <is>
          <t>dense/MHA</t>
        </is>
      </c>
      <c r="J109" s="29" t="n">
        <v>131072</v>
      </c>
      <c r="K109" s="29" t="n">
        <v>0</v>
      </c>
      <c r="L109" s="29" t="n">
        <v>0</v>
      </c>
      <c r="M109" s="29" t="n">
        <v>0</v>
      </c>
      <c r="N109" s="29" t="n">
        <v>0</v>
      </c>
      <c r="O109" s="29" t="n">
        <v>0</v>
      </c>
      <c r="P109" s="29" t="n">
        <v>0</v>
      </c>
    </row>
    <row r="110">
      <c r="A110" s="29" t="inlineStr">
        <is>
          <t>Command-R+-104B</t>
        </is>
      </c>
      <c r="B110" s="29" t="n">
        <v>104</v>
      </c>
      <c r="C110" s="29" t="n">
        <v>104</v>
      </c>
      <c r="D110" s="29" t="n">
        <v>64</v>
      </c>
      <c r="E110" s="29" t="n">
        <v>12288</v>
      </c>
      <c r="F110" s="29" t="n">
        <v>96</v>
      </c>
      <c r="G110" s="29" t="n">
        <v>8</v>
      </c>
      <c r="H110" s="29" t="n">
        <v>128</v>
      </c>
      <c r="I110" s="29" t="inlineStr">
        <is>
          <t>dense/GQA</t>
        </is>
      </c>
      <c r="J110" s="29" t="n">
        <v>131072</v>
      </c>
      <c r="K110" s="29" t="n">
        <v>0</v>
      </c>
      <c r="L110" s="29" t="n">
        <v>0</v>
      </c>
      <c r="M110" s="29" t="n">
        <v>0</v>
      </c>
      <c r="N110" s="29" t="n">
        <v>0</v>
      </c>
      <c r="O110" s="29" t="n">
        <v>0</v>
      </c>
      <c r="P110" s="29" t="n">
        <v>0</v>
      </c>
    </row>
    <row r="111">
      <c r="A111" s="29" t="inlineStr">
        <is>
          <t>Yi-1.5-9B</t>
        </is>
      </c>
      <c r="B111" s="29" t="n">
        <v>9</v>
      </c>
      <c r="C111" s="29" t="n">
        <v>9</v>
      </c>
      <c r="D111" s="29" t="n">
        <v>48</v>
      </c>
      <c r="E111" s="29" t="n">
        <v>4096</v>
      </c>
      <c r="F111" s="29" t="n">
        <v>32</v>
      </c>
      <c r="G111" s="29" t="n">
        <v>4</v>
      </c>
      <c r="H111" s="29" t="n">
        <v>128</v>
      </c>
      <c r="I111" s="29" t="inlineStr">
        <is>
          <t>dense/GQA</t>
        </is>
      </c>
      <c r="J111" s="29" t="n">
        <v>4096</v>
      </c>
      <c r="K111" s="29" t="n">
        <v>0</v>
      </c>
      <c r="L111" s="29" t="n">
        <v>0</v>
      </c>
      <c r="M111" s="29" t="n">
        <v>0</v>
      </c>
      <c r="N111" s="29" t="n">
        <v>0</v>
      </c>
      <c r="O111" s="29" t="n">
        <v>0</v>
      </c>
      <c r="P111" s="29" t="n">
        <v>0</v>
      </c>
    </row>
    <row r="112">
      <c r="A112" s="29" t="inlineStr">
        <is>
          <t>Yi-1.5-34B</t>
        </is>
      </c>
      <c r="B112" s="29" t="n">
        <v>34</v>
      </c>
      <c r="C112" s="29" t="n">
        <v>34</v>
      </c>
      <c r="D112" s="29" t="n">
        <v>60</v>
      </c>
      <c r="E112" s="29" t="n">
        <v>7168</v>
      </c>
      <c r="F112" s="29" t="n">
        <v>56</v>
      </c>
      <c r="G112" s="29" t="n">
        <v>8</v>
      </c>
      <c r="H112" s="29" t="n">
        <v>128</v>
      </c>
      <c r="I112" s="29" t="inlineStr">
        <is>
          <t>dense/GQA</t>
        </is>
      </c>
      <c r="J112" s="29" t="n">
        <v>4096</v>
      </c>
      <c r="K112" s="29" t="n">
        <v>0</v>
      </c>
      <c r="L112" s="29" t="n">
        <v>0</v>
      </c>
      <c r="M112" s="29" t="n">
        <v>0</v>
      </c>
      <c r="N112" s="29" t="n">
        <v>0</v>
      </c>
      <c r="O112" s="29" t="n">
        <v>0</v>
      </c>
      <c r="P112" s="29" t="n">
        <v>0</v>
      </c>
    </row>
    <row r="113">
      <c r="A113" s="29" t="inlineStr">
        <is>
          <t>GLM-4-9B</t>
        </is>
      </c>
      <c r="B113" s="29" t="n">
        <v>9</v>
      </c>
      <c r="C113" s="29" t="n">
        <v>9</v>
      </c>
      <c r="D113" s="29" t="n">
        <v>40</v>
      </c>
      <c r="E113" s="29" t="n">
        <v>4096</v>
      </c>
      <c r="F113" s="29" t="n">
        <v>32</v>
      </c>
      <c r="G113" s="29" t="n">
        <v>2</v>
      </c>
      <c r="H113" s="29" t="n">
        <v>128</v>
      </c>
      <c r="I113" s="29" t="inlineStr">
        <is>
          <t>dense/GQA</t>
        </is>
      </c>
      <c r="J113" s="29" t="n">
        <v>131072</v>
      </c>
      <c r="K113" s="29" t="n">
        <v>0</v>
      </c>
      <c r="L113" s="29" t="n">
        <v>0</v>
      </c>
      <c r="M113" s="29" t="n">
        <v>0</v>
      </c>
      <c r="N113" s="29" t="n">
        <v>0</v>
      </c>
      <c r="O113" s="29" t="n">
        <v>0</v>
      </c>
      <c r="P113" s="29" t="n">
        <v>0</v>
      </c>
    </row>
    <row r="114">
      <c r="A114" s="29" t="inlineStr">
        <is>
          <t>GLM-4-32B-0414</t>
        </is>
      </c>
      <c r="B114" s="29" t="n">
        <v>32</v>
      </c>
      <c r="C114" s="29" t="n">
        <v>32</v>
      </c>
      <c r="D114" s="29" t="n">
        <v>61</v>
      </c>
      <c r="E114" s="29" t="n">
        <v>6144</v>
      </c>
      <c r="F114" s="29" t="n">
        <v>48</v>
      </c>
      <c r="G114" s="29" t="n">
        <v>2</v>
      </c>
      <c r="H114" s="29" t="n">
        <v>128</v>
      </c>
      <c r="I114" s="29" t="inlineStr">
        <is>
          <t>dense/GQA</t>
        </is>
      </c>
      <c r="J114" s="29" t="n">
        <v>32768</v>
      </c>
      <c r="K114" s="29" t="n">
        <v>0</v>
      </c>
      <c r="L114" s="29" t="n">
        <v>0</v>
      </c>
      <c r="M114" s="29" t="n">
        <v>0</v>
      </c>
      <c r="N114" s="29" t="n">
        <v>0</v>
      </c>
      <c r="O114" s="29" t="n">
        <v>0</v>
      </c>
      <c r="P114" s="29" t="n">
        <v>0</v>
      </c>
    </row>
    <row r="115">
      <c r="A115" s="29" t="inlineStr">
        <is>
          <t>Ministral-8B</t>
        </is>
      </c>
      <c r="B115" s="29" t="n">
        <v>8</v>
      </c>
      <c r="C115" s="29" t="n">
        <v>8</v>
      </c>
      <c r="D115" s="29" t="n">
        <v>36</v>
      </c>
      <c r="E115" s="29" t="n">
        <v>4096</v>
      </c>
      <c r="F115" s="29" t="n">
        <v>32</v>
      </c>
      <c r="G115" s="29" t="n">
        <v>8</v>
      </c>
      <c r="H115" s="29" t="n">
        <v>128</v>
      </c>
      <c r="I115" s="29" t="inlineStr">
        <is>
          <t>dense/GQA</t>
        </is>
      </c>
      <c r="J115" s="29" t="n">
        <v>32768</v>
      </c>
      <c r="K115" s="29" t="n">
        <v>0</v>
      </c>
      <c r="L115" s="29" t="n">
        <v>0</v>
      </c>
      <c r="M115" s="29" t="n">
        <v>0</v>
      </c>
      <c r="N115" s="29" t="n">
        <v>0</v>
      </c>
      <c r="O115" s="29" t="n">
        <v>0</v>
      </c>
      <c r="P115" s="29" t="n">
        <v>0</v>
      </c>
    </row>
    <row r="116">
      <c r="A116" s="29" t="inlineStr">
        <is>
          <t>Mistral-Nemo-12B</t>
        </is>
      </c>
      <c r="B116" s="29" t="n">
        <v>12</v>
      </c>
      <c r="C116" s="29" t="n">
        <v>12</v>
      </c>
      <c r="D116" s="29" t="n">
        <v>40</v>
      </c>
      <c r="E116" s="29" t="n">
        <v>5120</v>
      </c>
      <c r="F116" s="29" t="n">
        <v>32</v>
      </c>
      <c r="G116" s="29" t="n">
        <v>8</v>
      </c>
      <c r="H116" s="29" t="n">
        <v>128</v>
      </c>
      <c r="I116" s="29" t="inlineStr">
        <is>
          <t>dense/GQA</t>
        </is>
      </c>
      <c r="J116" s="29" t="n">
        <v>131072</v>
      </c>
      <c r="K116" s="29" t="n">
        <v>0</v>
      </c>
      <c r="L116" s="29" t="n">
        <v>0</v>
      </c>
      <c r="M116" s="29" t="n">
        <v>0</v>
      </c>
      <c r="N116" s="29" t="n">
        <v>0</v>
      </c>
      <c r="O116" s="29" t="n">
        <v>0</v>
      </c>
      <c r="P116" s="29" t="n">
        <v>0</v>
      </c>
    </row>
    <row r="117">
      <c r="A117" s="29" t="inlineStr">
        <is>
          <t>Mistral-Small-22B</t>
        </is>
      </c>
      <c r="B117" s="29" t="n">
        <v>22</v>
      </c>
      <c r="C117" s="29" t="n">
        <v>22</v>
      </c>
      <c r="D117" s="29" t="n">
        <v>56</v>
      </c>
      <c r="E117" s="29" t="n">
        <v>6144</v>
      </c>
      <c r="F117" s="29" t="n">
        <v>48</v>
      </c>
      <c r="G117" s="29" t="n">
        <v>8</v>
      </c>
      <c r="H117" s="29" t="n">
        <v>128</v>
      </c>
      <c r="I117" s="29" t="inlineStr">
        <is>
          <t>dense/GQA</t>
        </is>
      </c>
      <c r="J117" s="29" t="n">
        <v>32768</v>
      </c>
      <c r="K117" s="29" t="n">
        <v>0</v>
      </c>
      <c r="L117" s="29" t="n">
        <v>0</v>
      </c>
      <c r="M117" s="29" t="n">
        <v>0</v>
      </c>
      <c r="N117" s="29" t="n">
        <v>0</v>
      </c>
      <c r="O117" s="29" t="n">
        <v>0</v>
      </c>
      <c r="P117" s="29" t="n">
        <v>0</v>
      </c>
    </row>
    <row r="118">
      <c r="A118" s="29" t="inlineStr">
        <is>
          <t>Mistral-Small-3.1-24B</t>
        </is>
      </c>
      <c r="B118" s="29" t="n">
        <v>24</v>
      </c>
      <c r="C118" s="29" t="n">
        <v>24</v>
      </c>
      <c r="D118" s="29" t="n">
        <v>40</v>
      </c>
      <c r="E118" s="29" t="n">
        <v>5120</v>
      </c>
      <c r="F118" s="29" t="n">
        <v>32</v>
      </c>
      <c r="G118" s="29" t="n">
        <v>8</v>
      </c>
      <c r="H118" s="29" t="n">
        <v>128</v>
      </c>
      <c r="I118" s="29" t="inlineStr">
        <is>
          <t>dense/GQA</t>
        </is>
      </c>
      <c r="J118" s="29" t="n">
        <v>131072</v>
      </c>
      <c r="K118" s="29" t="n">
        <v>0</v>
      </c>
      <c r="L118" s="29" t="n">
        <v>0</v>
      </c>
      <c r="M118" s="29" t="n">
        <v>0</v>
      </c>
      <c r="N118" s="29" t="n">
        <v>0</v>
      </c>
      <c r="O118" s="29" t="n">
        <v>0</v>
      </c>
      <c r="P118" s="29" t="n">
        <v>0</v>
      </c>
    </row>
    <row r="119">
      <c r="A119" s="29" t="inlineStr">
        <is>
          <t>Falcon-3-7B</t>
        </is>
      </c>
      <c r="B119" s="29" t="n">
        <v>7</v>
      </c>
      <c r="C119" s="29" t="n">
        <v>7</v>
      </c>
      <c r="D119" s="29" t="n">
        <v>28</v>
      </c>
      <c r="E119" s="29" t="n">
        <v>3072</v>
      </c>
      <c r="F119" s="29" t="n">
        <v>12</v>
      </c>
      <c r="G119" s="29" t="n">
        <v>4</v>
      </c>
      <c r="H119" s="29" t="n">
        <v>256</v>
      </c>
      <c r="I119" s="29" t="inlineStr">
        <is>
          <t>dense/GQA</t>
        </is>
      </c>
      <c r="J119" s="29" t="n">
        <v>32768</v>
      </c>
      <c r="K119" s="29" t="n">
        <v>0</v>
      </c>
      <c r="L119" s="29" t="n">
        <v>0</v>
      </c>
      <c r="M119" s="29" t="n">
        <v>0</v>
      </c>
      <c r="N119" s="29" t="n">
        <v>0</v>
      </c>
      <c r="O119" s="29" t="n">
        <v>0</v>
      </c>
      <c r="P119" s="29" t="n">
        <v>0</v>
      </c>
    </row>
    <row r="120">
      <c r="A120" s="29" t="inlineStr">
        <is>
          <t>Falcon-3-10B</t>
        </is>
      </c>
      <c r="B120" s="29" t="n">
        <v>10</v>
      </c>
      <c r="C120" s="29" t="n">
        <v>10</v>
      </c>
      <c r="D120" s="29" t="n">
        <v>40</v>
      </c>
      <c r="E120" s="29" t="n">
        <v>3072</v>
      </c>
      <c r="F120" s="29" t="n">
        <v>12</v>
      </c>
      <c r="G120" s="29" t="n">
        <v>4</v>
      </c>
      <c r="H120" s="29" t="n">
        <v>256</v>
      </c>
      <c r="I120" s="29" t="inlineStr">
        <is>
          <t>dense/GQA</t>
        </is>
      </c>
      <c r="J120" s="29" t="n">
        <v>32768</v>
      </c>
      <c r="K120" s="29" t="n">
        <v>0</v>
      </c>
      <c r="L120" s="29" t="n">
        <v>0</v>
      </c>
      <c r="M120" s="29" t="n">
        <v>0</v>
      </c>
      <c r="N120" s="29" t="n">
        <v>0</v>
      </c>
      <c r="O120" s="29" t="n">
        <v>0</v>
      </c>
      <c r="P120" s="29" t="n">
        <v>0</v>
      </c>
    </row>
    <row r="121">
      <c r="A121" s="29" t="inlineStr">
        <is>
          <t>Nemotron-4-340B</t>
        </is>
      </c>
      <c r="B121" s="29" t="n">
        <v>340</v>
      </c>
      <c r="C121" s="29" t="n">
        <v>340</v>
      </c>
      <c r="D121" s="29" t="n">
        <v>96</v>
      </c>
      <c r="E121" s="29" t="n">
        <v>18432</v>
      </c>
      <c r="F121" s="29" t="n">
        <v>96</v>
      </c>
      <c r="G121" s="29" t="n">
        <v>8</v>
      </c>
      <c r="H121" s="29" t="n">
        <v>192</v>
      </c>
      <c r="I121" s="29" t="inlineStr">
        <is>
          <t>dense/GQA</t>
        </is>
      </c>
      <c r="J121" s="29" t="n">
        <v>4096</v>
      </c>
      <c r="K121" s="29" t="n">
        <v>0</v>
      </c>
      <c r="L121" s="29" t="n">
        <v>0</v>
      </c>
      <c r="M121" s="29" t="n">
        <v>0</v>
      </c>
      <c r="N121" s="29" t="n">
        <v>0</v>
      </c>
      <c r="O121" s="29" t="n">
        <v>0</v>
      </c>
      <c r="P121" s="29" t="n">
        <v>0</v>
      </c>
    </row>
    <row r="122">
      <c r="A122" s="29" t="inlineStr">
        <is>
          <t>Gemma-2-9B</t>
        </is>
      </c>
      <c r="B122" s="29" t="n">
        <v>9</v>
      </c>
      <c r="C122" s="29" t="n">
        <v>9</v>
      </c>
      <c r="D122" s="29" t="n">
        <v>42</v>
      </c>
      <c r="E122" s="29" t="n">
        <v>3584</v>
      </c>
      <c r="F122" s="29" t="n">
        <v>16</v>
      </c>
      <c r="G122" s="29" t="n">
        <v>8</v>
      </c>
      <c r="H122" s="29" t="n">
        <v>256</v>
      </c>
      <c r="I122" s="29" t="inlineStr">
        <is>
          <t>dense/GQA</t>
        </is>
      </c>
      <c r="J122" s="29" t="n">
        <v>8192</v>
      </c>
      <c r="K122" s="29" t="n">
        <v>0</v>
      </c>
      <c r="L122" s="29" t="n">
        <v>0</v>
      </c>
      <c r="M122" s="29" t="n">
        <v>0</v>
      </c>
      <c r="N122" s="29" t="n">
        <v>0</v>
      </c>
      <c r="O122" s="29" t="n">
        <v>0</v>
      </c>
      <c r="P122" s="29" t="n">
        <v>0</v>
      </c>
    </row>
    <row r="123">
      <c r="A123" s="29" t="inlineStr">
        <is>
          <t>Gemma-2-27B</t>
        </is>
      </c>
      <c r="B123" s="29" t="n">
        <v>27</v>
      </c>
      <c r="C123" s="29" t="n">
        <v>27</v>
      </c>
      <c r="D123" s="29" t="n">
        <v>46</v>
      </c>
      <c r="E123" s="29" t="n">
        <v>4608</v>
      </c>
      <c r="F123" s="29" t="n">
        <v>32</v>
      </c>
      <c r="G123" s="29" t="n">
        <v>16</v>
      </c>
      <c r="H123" s="29" t="n">
        <v>128</v>
      </c>
      <c r="I123" s="29" t="inlineStr">
        <is>
          <t>dense/GQA</t>
        </is>
      </c>
      <c r="J123" s="29" t="n">
        <v>8192</v>
      </c>
      <c r="K123" s="29" t="n">
        <v>0</v>
      </c>
      <c r="L123" s="29" t="n">
        <v>0</v>
      </c>
      <c r="M123" s="29" t="n">
        <v>0</v>
      </c>
      <c r="N123" s="29" t="n">
        <v>0</v>
      </c>
      <c r="O123" s="29" t="n">
        <v>0</v>
      </c>
      <c r="P123" s="29" t="n">
        <v>0</v>
      </c>
    </row>
    <row r="124">
      <c r="A124" s="29" t="inlineStr">
        <is>
          <t>Phi-4-14B</t>
        </is>
      </c>
      <c r="B124" s="29" t="n">
        <v>14</v>
      </c>
      <c r="C124" s="29" t="n">
        <v>14</v>
      </c>
      <c r="D124" s="29" t="n">
        <v>40</v>
      </c>
      <c r="E124" s="29" t="n">
        <v>5120</v>
      </c>
      <c r="F124" s="29" t="n">
        <v>40</v>
      </c>
      <c r="G124" s="29" t="n">
        <v>10</v>
      </c>
      <c r="H124" s="29" t="n">
        <v>128</v>
      </c>
      <c r="I124" s="29" t="inlineStr">
        <is>
          <t>dense/GQA</t>
        </is>
      </c>
      <c r="J124" s="29" t="n">
        <v>16384</v>
      </c>
      <c r="K124" s="29" t="n">
        <v>0</v>
      </c>
      <c r="L124" s="29" t="n">
        <v>0</v>
      </c>
      <c r="M124" s="29" t="n">
        <v>0</v>
      </c>
      <c r="N124" s="29" t="n">
        <v>0</v>
      </c>
      <c r="O124" s="29" t="n">
        <v>0</v>
      </c>
      <c r="P124" s="29" t="n">
        <v>0</v>
      </c>
    </row>
    <row r="125">
      <c r="A125" s="29" t="inlineStr">
        <is>
          <t>GPT-OSS-20B</t>
        </is>
      </c>
      <c r="B125" s="29" t="n">
        <v>21</v>
      </c>
      <c r="C125" s="29" t="n">
        <v>1.8</v>
      </c>
      <c r="D125" s="29" t="n">
        <v>24</v>
      </c>
      <c r="E125" s="29" t="n">
        <v>2880</v>
      </c>
      <c r="F125" s="29" t="n">
        <v>64</v>
      </c>
      <c r="G125" s="29" t="n">
        <v>8</v>
      </c>
      <c r="H125" s="29" t="n">
        <v>64</v>
      </c>
      <c r="I125" s="29" t="inlineStr">
        <is>
          <t>MoE/GQA</t>
        </is>
      </c>
      <c r="J125" s="29" t="n">
        <v>131072</v>
      </c>
      <c r="K125" s="29" t="n">
        <v>0</v>
      </c>
      <c r="L125" s="29" t="n">
        <v>0</v>
      </c>
      <c r="M125" s="29" t="n">
        <v>1.8</v>
      </c>
      <c r="N125" s="29" t="n">
        <v>19.11</v>
      </c>
      <c r="O125" s="29" t="n">
        <v>4</v>
      </c>
      <c r="P125" s="29" t="n">
        <v>32</v>
      </c>
    </row>
    <row r="126">
      <c r="A126" s="29" t="inlineStr">
        <is>
          <t>GPT-OSS-120B</t>
        </is>
      </c>
      <c r="B126" s="29" t="n">
        <v>117</v>
      </c>
      <c r="C126" s="29" t="n">
        <v>5</v>
      </c>
      <c r="D126" s="29" t="n">
        <v>36</v>
      </c>
      <c r="E126" s="29" t="n">
        <v>2880</v>
      </c>
      <c r="F126" s="29" t="n">
        <v>64</v>
      </c>
      <c r="G126" s="29" t="n">
        <v>8</v>
      </c>
      <c r="H126" s="29" t="n">
        <v>64</v>
      </c>
      <c r="I126" s="29" t="inlineStr">
        <is>
          <t>MoE/GQA</t>
        </is>
      </c>
      <c r="J126" s="29" t="n">
        <v>131072</v>
      </c>
      <c r="K126" s="29" t="n">
        <v>0</v>
      </c>
      <c r="L126" s="29" t="n">
        <v>0</v>
      </c>
      <c r="M126" s="29" t="n">
        <v>2.13</v>
      </c>
      <c r="N126" s="29" t="n">
        <v>114.66</v>
      </c>
      <c r="O126" s="29" t="n">
        <v>4</v>
      </c>
      <c r="P126" s="29" t="n">
        <v>128</v>
      </c>
    </row>
    <row r="127">
      <c r="A127" s="29" t="n"/>
      <c r="B127" s="29" t="n"/>
      <c r="C127" s="29" t="n"/>
      <c r="D127" s="29" t="n"/>
      <c r="E127" s="29" t="n"/>
      <c r="F127" s="29" t="n"/>
      <c r="G127" s="29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</row>
    <row r="128">
      <c r="A128" s="29" t="n"/>
      <c r="B128" s="29" t="n"/>
      <c r="C128" s="29" t="n"/>
      <c r="D128" s="29" t="n"/>
      <c r="E128" s="29" t="n"/>
      <c r="F128" s="29" t="n"/>
      <c r="G128" s="29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</row>
    <row r="129">
      <c r="A129" s="29" t="n"/>
      <c r="B129" s="29" t="n"/>
      <c r="C129" s="29" t="n"/>
      <c r="D129" s="29" t="n"/>
      <c r="E129" s="29" t="n"/>
      <c r="F129" s="29" t="n"/>
      <c r="G129" s="29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</row>
    <row r="130">
      <c r="A130" s="29" t="n"/>
      <c r="B130" s="29" t="n"/>
      <c r="C130" s="29" t="n"/>
      <c r="D130" s="29" t="n"/>
      <c r="E130" s="29" t="n"/>
      <c r="F130" s="29" t="n"/>
      <c r="G130" s="29" t="n"/>
      <c r="H130" s="29" t="n"/>
      <c r="I130" s="29" t="n"/>
      <c r="J130" s="29" t="n"/>
      <c r="K130" s="29" t="n"/>
      <c r="L130" s="29" t="n"/>
      <c r="M130" s="29" t="n"/>
      <c r="N130" s="29" t="n"/>
      <c r="O130" s="29" t="n"/>
      <c r="P130" s="29" t="n"/>
    </row>
    <row r="131">
      <c r="A131" s="29" t="n"/>
      <c r="B131" s="29" t="n"/>
      <c r="C131" s="29" t="n"/>
      <c r="D131" s="29" t="n"/>
      <c r="E131" s="29" t="n"/>
      <c r="F131" s="29" t="n"/>
      <c r="G131" s="29" t="n"/>
      <c r="H131" s="29" t="n"/>
      <c r="I131" s="29" t="n"/>
      <c r="J131" s="29" t="n"/>
      <c r="K131" s="29" t="n"/>
      <c r="L131" s="29" t="n"/>
      <c r="M131" s="29" t="n"/>
      <c r="N131" s="29" t="n"/>
      <c r="O131" s="29" t="n"/>
      <c r="P131" s="29" t="n"/>
    </row>
    <row r="132">
      <c r="A132" s="29" t="n"/>
      <c r="B132" s="29" t="n"/>
      <c r="C132" s="29" t="n"/>
      <c r="D132" s="29" t="n"/>
      <c r="E132" s="29" t="n"/>
      <c r="F132" s="29" t="n"/>
      <c r="G132" s="29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</row>
    <row r="133">
      <c r="A133" s="29" t="n"/>
      <c r="B133" s="29" t="n"/>
      <c r="C133" s="29" t="n"/>
      <c r="D133" s="29" t="n"/>
      <c r="E133" s="29" t="n"/>
      <c r="F133" s="29" t="n"/>
      <c r="G133" s="29" t="n"/>
      <c r="H133" s="29" t="n"/>
      <c r="I133" s="29" t="n"/>
      <c r="J133" s="29" t="n"/>
      <c r="K133" s="29" t="n"/>
      <c r="L133" s="29" t="n"/>
      <c r="M133" s="29" t="n"/>
      <c r="N133" s="29" t="n"/>
      <c r="O133" s="29" t="n"/>
      <c r="P133" s="29" t="n"/>
    </row>
    <row r="134">
      <c r="A134" s="29" t="n"/>
      <c r="B134" s="29" t="n"/>
      <c r="C134" s="29" t="n"/>
      <c r="D134" s="29" t="n"/>
      <c r="E134" s="29" t="n"/>
      <c r="F134" s="29" t="n"/>
      <c r="G134" s="29" t="n"/>
      <c r="H134" s="29" t="n"/>
      <c r="I134" s="29" t="n"/>
      <c r="J134" s="29" t="n"/>
      <c r="K134" s="29" t="n"/>
      <c r="L134" s="29" t="n"/>
      <c r="M134" s="29" t="n"/>
      <c r="N134" s="29" t="n"/>
      <c r="O134" s="29" t="n"/>
      <c r="P134" s="29" t="n"/>
    </row>
    <row r="135">
      <c r="A135" s="29" t="n"/>
      <c r="B135" s="29" t="n"/>
      <c r="C135" s="29" t="n"/>
      <c r="D135" s="29" t="n"/>
      <c r="E135" s="29" t="n"/>
      <c r="F135" s="29" t="n"/>
      <c r="G135" s="29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</row>
    <row r="136">
      <c r="A136" s="29" t="n"/>
      <c r="B136" s="29" t="n"/>
      <c r="C136" s="29" t="n"/>
      <c r="D136" s="29" t="n"/>
      <c r="E136" s="29" t="n"/>
      <c r="F136" s="29" t="n"/>
      <c r="G136" s="29" t="n"/>
      <c r="H136" s="29" t="n"/>
      <c r="I136" s="29" t="n"/>
      <c r="J136" s="29" t="n"/>
      <c r="K136" s="29" t="n"/>
      <c r="L136" s="29" t="n"/>
      <c r="M136" s="29" t="n"/>
      <c r="N136" s="29" t="n"/>
      <c r="O136" s="29" t="n"/>
      <c r="P136" s="29" t="n"/>
    </row>
    <row r="137">
      <c r="A137" s="29" t="n"/>
      <c r="B137" s="29" t="n"/>
      <c r="C137" s="29" t="n"/>
      <c r="D137" s="29" t="n"/>
      <c r="E137" s="29" t="n"/>
      <c r="F137" s="29" t="n"/>
      <c r="G137" s="29" t="n"/>
      <c r="H137" s="29" t="n"/>
      <c r="I137" s="29" t="n"/>
      <c r="J137" s="29" t="n"/>
      <c r="K137" s="29" t="n"/>
      <c r="L137" s="29" t="n"/>
      <c r="M137" s="29" t="n"/>
      <c r="N137" s="29" t="n"/>
      <c r="O137" s="29" t="n"/>
      <c r="P137" s="29" t="n"/>
    </row>
    <row r="138">
      <c r="A138" s="29" t="n"/>
      <c r="B138" s="29" t="n"/>
      <c r="C138" s="29" t="n"/>
      <c r="D138" s="29" t="n"/>
      <c r="E138" s="29" t="n"/>
      <c r="F138" s="29" t="n"/>
      <c r="G138" s="29" t="n"/>
      <c r="H138" s="29" t="n"/>
      <c r="I138" s="29" t="n"/>
      <c r="J138" s="29" t="n"/>
      <c r="K138" s="29" t="n"/>
      <c r="L138" s="29" t="n"/>
      <c r="M138" s="29" t="n"/>
      <c r="N138" s="29" t="n"/>
      <c r="O138" s="29" t="n"/>
      <c r="P138" s="29" t="n"/>
    </row>
    <row r="139">
      <c r="A139" s="29" t="n"/>
      <c r="B139" s="29" t="n"/>
      <c r="C139" s="29" t="n"/>
      <c r="D139" s="29" t="n"/>
      <c r="E139" s="29" t="n"/>
      <c r="F139" s="29" t="n"/>
      <c r="G139" s="29" t="n"/>
      <c r="H139" s="29" t="n"/>
      <c r="I139" s="29" t="n"/>
      <c r="J139" s="29" t="n"/>
      <c r="K139" s="29" t="n"/>
      <c r="L139" s="29" t="n"/>
      <c r="M139" s="29" t="n"/>
      <c r="N139" s="29" t="n"/>
      <c r="O139" s="29" t="n"/>
      <c r="P139" s="29" t="n"/>
    </row>
    <row r="140">
      <c r="A140" s="29" t="n"/>
      <c r="B140" s="29" t="n"/>
      <c r="C140" s="29" t="n"/>
      <c r="D140" s="29" t="n"/>
      <c r="E140" s="29" t="n"/>
      <c r="F140" s="29" t="n"/>
      <c r="G140" s="29" t="n"/>
      <c r="H140" s="29" t="n"/>
      <c r="I140" s="29" t="n"/>
      <c r="J140" s="29" t="n"/>
      <c r="K140" s="29" t="n"/>
      <c r="L140" s="29" t="n"/>
      <c r="M140" s="29" t="n"/>
      <c r="N140" s="29" t="n"/>
      <c r="O140" s="29" t="n"/>
      <c r="P140" s="29" t="n"/>
    </row>
    <row r="141">
      <c r="A141" s="29" t="n"/>
      <c r="B141" s="29" t="n"/>
      <c r="C141" s="29" t="n"/>
      <c r="D141" s="29" t="n"/>
      <c r="E141" s="29" t="n"/>
      <c r="F141" s="29" t="n"/>
      <c r="G141" s="29" t="n"/>
      <c r="H141" s="29" t="n"/>
      <c r="I141" s="29" t="n"/>
      <c r="J141" s="29" t="n"/>
      <c r="K141" s="29" t="n"/>
      <c r="L141" s="29" t="n"/>
      <c r="M141" s="29" t="n"/>
      <c r="N141" s="29" t="n"/>
      <c r="O141" s="29" t="n"/>
      <c r="P141" s="29" t="n"/>
    </row>
    <row r="142">
      <c r="A142" s="29" t="n"/>
      <c r="B142" s="29" t="n"/>
      <c r="C142" s="29" t="n"/>
      <c r="D142" s="29" t="n"/>
      <c r="E142" s="29" t="n"/>
      <c r="F142" s="29" t="n"/>
      <c r="G142" s="29" t="n"/>
      <c r="H142" s="29" t="n"/>
      <c r="I142" s="29" t="n"/>
      <c r="J142" s="29" t="n"/>
      <c r="K142" s="29" t="n"/>
      <c r="L142" s="29" t="n"/>
      <c r="M142" s="29" t="n"/>
      <c r="N142" s="29" t="n"/>
      <c r="O142" s="29" t="n"/>
      <c r="P142" s="29" t="n"/>
    </row>
    <row r="143">
      <c r="A143" s="29" t="n"/>
      <c r="B143" s="29" t="n"/>
      <c r="C143" s="29" t="n"/>
      <c r="D143" s="29" t="n"/>
      <c r="E143" s="29" t="n"/>
      <c r="F143" s="29" t="n"/>
      <c r="G143" s="29" t="n"/>
      <c r="H143" s="29" t="n"/>
      <c r="I143" s="29" t="n"/>
      <c r="J143" s="29" t="n"/>
      <c r="K143" s="29" t="n"/>
      <c r="L143" s="29" t="n"/>
      <c r="M143" s="29" t="n"/>
      <c r="N143" s="29" t="n"/>
      <c r="O143" s="29" t="n"/>
      <c r="P143" s="29" t="n"/>
    </row>
    <row r="144">
      <c r="A144" s="29" t="n"/>
      <c r="B144" s="29" t="n"/>
      <c r="C144" s="29" t="n"/>
      <c r="D144" s="29" t="n"/>
      <c r="E144" s="29" t="n"/>
      <c r="F144" s="29" t="n"/>
      <c r="G144" s="29" t="n"/>
      <c r="H144" s="29" t="n"/>
      <c r="I144" s="29" t="n"/>
      <c r="J144" s="29" t="n"/>
      <c r="K144" s="29" t="n"/>
      <c r="L144" s="29" t="n"/>
      <c r="M144" s="29" t="n"/>
      <c r="N144" s="29" t="n"/>
      <c r="O144" s="29" t="n"/>
      <c r="P144" s="29" t="n"/>
    </row>
    <row r="145">
      <c r="A145" s="29" t="n"/>
      <c r="B145" s="29" t="n"/>
      <c r="C145" s="29" t="n"/>
      <c r="D145" s="29" t="n"/>
      <c r="E145" s="29" t="n"/>
      <c r="F145" s="29" t="n"/>
      <c r="G145" s="29" t="n"/>
      <c r="H145" s="29" t="n"/>
      <c r="I145" s="29" t="n"/>
      <c r="J145" s="29" t="n"/>
      <c r="K145" s="29" t="n"/>
      <c r="L145" s="29" t="n"/>
      <c r="M145" s="29" t="n"/>
      <c r="N145" s="29" t="n"/>
      <c r="O145" s="29" t="n"/>
      <c r="P145" s="29" t="n"/>
    </row>
    <row r="146">
      <c r="A146" s="29" t="n"/>
      <c r="B146" s="29" t="n"/>
      <c r="C146" s="29" t="n"/>
      <c r="D146" s="29" t="n"/>
      <c r="E146" s="29" t="n"/>
      <c r="F146" s="29" t="n"/>
      <c r="G146" s="29" t="n"/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</row>
    <row r="147">
      <c r="A147" s="29" t="n"/>
      <c r="B147" s="29" t="n"/>
      <c r="C147" s="29" t="n"/>
      <c r="D147" s="29" t="n"/>
      <c r="E147" s="29" t="n"/>
      <c r="F147" s="29" t="n"/>
      <c r="G147" s="29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</row>
    <row r="148">
      <c r="A148" s="29" t="n"/>
      <c r="B148" s="29" t="n"/>
      <c r="C148" s="29" t="n"/>
      <c r="D148" s="29" t="n"/>
      <c r="E148" s="29" t="n"/>
      <c r="F148" s="29" t="n"/>
      <c r="G148" s="29" t="n"/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</row>
    <row r="149">
      <c r="A149" s="29" t="n"/>
      <c r="B149" s="29" t="n"/>
      <c r="C149" s="29" t="n"/>
      <c r="D149" s="29" t="n"/>
      <c r="E149" s="29" t="n"/>
      <c r="F149" s="29" t="n"/>
      <c r="G149" s="29" t="n"/>
      <c r="H149" s="29" t="n"/>
      <c r="I149" s="29" t="n"/>
      <c r="J149" s="29" t="n"/>
      <c r="K149" s="29" t="n"/>
      <c r="L149" s="29" t="n"/>
      <c r="M149" s="29" t="n"/>
      <c r="N149" s="29" t="n"/>
      <c r="O149" s="29" t="n"/>
      <c r="P149" s="29" t="n"/>
    </row>
    <row r="150">
      <c r="A150" s="29" t="n"/>
      <c r="B150" s="29" t="n"/>
      <c r="C150" s="29" t="n"/>
      <c r="D150" s="29" t="n"/>
      <c r="E150" s="29" t="n"/>
      <c r="F150" s="29" t="n"/>
      <c r="G150" s="29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</row>
    <row r="151">
      <c r="A151" s="29" t="n"/>
      <c r="B151" s="29" t="n"/>
      <c r="C151" s="29" t="n"/>
      <c r="D151" s="29" t="n"/>
      <c r="E151" s="29" t="n"/>
      <c r="F151" s="29" t="n"/>
      <c r="G151" s="29" t="n"/>
      <c r="H151" s="29" t="n"/>
      <c r="I151" s="29" t="n"/>
      <c r="J151" s="29" t="n"/>
      <c r="K151" s="29" t="n"/>
      <c r="L151" s="29" t="n"/>
      <c r="M151" s="29" t="n"/>
      <c r="N151" s="29" t="n"/>
      <c r="O151" s="29" t="n"/>
      <c r="P151" s="29" t="n"/>
    </row>
    <row r="152">
      <c r="A152" s="29" t="n"/>
      <c r="B152" s="29" t="n"/>
      <c r="C152" s="29" t="n"/>
      <c r="D152" s="29" t="n"/>
      <c r="E152" s="29" t="n"/>
      <c r="F152" s="29" t="n"/>
      <c r="G152" s="29" t="n"/>
      <c r="H152" s="29" t="n"/>
      <c r="I152" s="29" t="n"/>
      <c r="J152" s="29" t="n"/>
      <c r="K152" s="29" t="n"/>
      <c r="L152" s="29" t="n"/>
      <c r="M152" s="29" t="n"/>
      <c r="N152" s="29" t="n"/>
      <c r="O152" s="29" t="n"/>
      <c r="P152" s="29" t="n"/>
    </row>
    <row r="153">
      <c r="A153" s="29" t="n"/>
      <c r="B153" s="29" t="n"/>
      <c r="C153" s="29" t="n"/>
      <c r="D153" s="29" t="n"/>
      <c r="E153" s="29" t="n"/>
      <c r="F153" s="29" t="n"/>
      <c r="G153" s="29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</row>
    <row r="154">
      <c r="A154" s="29" t="n"/>
      <c r="B154" s="29" t="n"/>
      <c r="C154" s="29" t="n"/>
      <c r="D154" s="29" t="n"/>
      <c r="E154" s="29" t="n"/>
      <c r="F154" s="29" t="n"/>
      <c r="G154" s="29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</row>
    <row r="155">
      <c r="A155" s="29" t="n"/>
      <c r="B155" s="29" t="n"/>
      <c r="C155" s="29" t="n"/>
      <c r="D155" s="29" t="n"/>
      <c r="E155" s="29" t="n"/>
      <c r="F155" s="29" t="n"/>
      <c r="G155" s="29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</row>
    <row r="156">
      <c r="A156" s="29" t="n"/>
      <c r="B156" s="29" t="n"/>
      <c r="C156" s="29" t="n"/>
      <c r="D156" s="29" t="n"/>
      <c r="E156" s="29" t="n"/>
      <c r="F156" s="29" t="n"/>
      <c r="G156" s="29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</row>
    <row r="157">
      <c r="A157" s="29" t="n"/>
      <c r="B157" s="29" t="n"/>
      <c r="C157" s="29" t="n"/>
      <c r="D157" s="29" t="n"/>
      <c r="E157" s="29" t="n"/>
      <c r="F157" s="29" t="n"/>
      <c r="G157" s="29" t="n"/>
      <c r="H157" s="29" t="n"/>
      <c r="I157" s="29" t="n"/>
      <c r="J157" s="29" t="n"/>
      <c r="K157" s="29" t="n"/>
      <c r="L157" s="29" t="n"/>
      <c r="M157" s="29" t="n"/>
      <c r="N157" s="29" t="n"/>
      <c r="O157" s="29" t="n"/>
      <c r="P157" s="29" t="n"/>
    </row>
    <row r="158">
      <c r="A158" s="29" t="n"/>
      <c r="B158" s="29" t="n"/>
      <c r="C158" s="29" t="n"/>
      <c r="D158" s="29" t="n"/>
      <c r="E158" s="29" t="n"/>
      <c r="F158" s="29" t="n"/>
      <c r="G158" s="29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</row>
    <row r="159">
      <c r="A159" s="29" t="n"/>
      <c r="B159" s="29" t="n"/>
      <c r="C159" s="29" t="n"/>
      <c r="D159" s="29" t="n"/>
      <c r="E159" s="29" t="n"/>
      <c r="F159" s="29" t="n"/>
      <c r="G159" s="29" t="n"/>
      <c r="H159" s="29" t="n"/>
      <c r="I159" s="29" t="n"/>
      <c r="J159" s="29" t="n"/>
      <c r="K159" s="29" t="n"/>
      <c r="L159" s="29" t="n"/>
      <c r="M159" s="29" t="n"/>
      <c r="N159" s="29" t="n"/>
      <c r="O159" s="29" t="n"/>
      <c r="P159" s="29" t="n"/>
    </row>
    <row r="160">
      <c r="A160" s="29" t="n"/>
      <c r="B160" s="29" t="n"/>
      <c r="C160" s="29" t="n"/>
      <c r="D160" s="29" t="n"/>
      <c r="E160" s="29" t="n"/>
      <c r="F160" s="29" t="n"/>
      <c r="G160" s="29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</row>
    <row r="161">
      <c r="A161" s="29" t="n"/>
      <c r="B161" s="29" t="n"/>
      <c r="C161" s="29" t="n"/>
      <c r="D161" s="29" t="n"/>
      <c r="E161" s="29" t="n"/>
      <c r="F161" s="29" t="n"/>
      <c r="G161" s="29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</row>
    <row r="162">
      <c r="A162" s="29" t="n"/>
      <c r="B162" s="29" t="n"/>
      <c r="C162" s="29" t="n"/>
      <c r="D162" s="29" t="n"/>
      <c r="E162" s="29" t="n"/>
      <c r="F162" s="29" t="n"/>
      <c r="G162" s="29" t="n"/>
      <c r="H162" s="29" t="n"/>
      <c r="I162" s="29" t="n"/>
      <c r="J162" s="29" t="n"/>
      <c r="K162" s="29" t="n"/>
      <c r="L162" s="29" t="n"/>
      <c r="M162" s="29" t="n"/>
      <c r="N162" s="29" t="n"/>
      <c r="O162" s="29" t="n"/>
      <c r="P162" s="29" t="n"/>
    </row>
    <row r="163">
      <c r="A163" s="29" t="n"/>
      <c r="B163" s="29" t="n"/>
      <c r="C163" s="29" t="n"/>
      <c r="D163" s="29" t="n"/>
      <c r="E163" s="29" t="n"/>
      <c r="F163" s="29" t="n"/>
      <c r="G163" s="29" t="n"/>
      <c r="H163" s="29" t="n"/>
      <c r="I163" s="29" t="n"/>
      <c r="J163" s="29" t="n"/>
      <c r="K163" s="29" t="n"/>
      <c r="L163" s="29" t="n"/>
      <c r="M163" s="29" t="n"/>
      <c r="N163" s="29" t="n"/>
      <c r="O163" s="29" t="n"/>
      <c r="P163" s="29" t="n"/>
    </row>
    <row r="164">
      <c r="A164" s="29" t="n"/>
      <c r="B164" s="29" t="n"/>
      <c r="C164" s="29" t="n"/>
      <c r="D164" s="29" t="n"/>
      <c r="E164" s="29" t="n"/>
      <c r="F164" s="29" t="n"/>
      <c r="G164" s="29" t="n"/>
      <c r="H164" s="29" t="n"/>
      <c r="I164" s="29" t="n"/>
      <c r="J164" s="29" t="n"/>
      <c r="K164" s="29" t="n"/>
      <c r="L164" s="29" t="n"/>
      <c r="M164" s="29" t="n"/>
      <c r="N164" s="29" t="n"/>
      <c r="O164" s="29" t="n"/>
      <c r="P164" s="29" t="n"/>
    </row>
    <row r="165">
      <c r="A165" s="29" t="n"/>
      <c r="B165" s="29" t="n"/>
      <c r="C165" s="29" t="n"/>
      <c r="D165" s="29" t="n"/>
      <c r="E165" s="29" t="n"/>
      <c r="F165" s="29" t="n"/>
      <c r="G165" s="29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</row>
    <row r="166">
      <c r="A166" s="29" t="n"/>
      <c r="B166" s="29" t="n"/>
      <c r="C166" s="29" t="n"/>
      <c r="D166" s="29" t="n"/>
      <c r="E166" s="29" t="n"/>
      <c r="F166" s="29" t="n"/>
      <c r="G166" s="29" t="n"/>
      <c r="H166" s="29" t="n"/>
      <c r="I166" s="29" t="n"/>
      <c r="J166" s="29" t="n"/>
      <c r="K166" s="29" t="n"/>
      <c r="L166" s="29" t="n"/>
      <c r="M166" s="29" t="n"/>
      <c r="N166" s="29" t="n"/>
      <c r="O166" s="29" t="n"/>
      <c r="P166" s="29" t="n"/>
    </row>
    <row r="167">
      <c r="A167" s="29" t="n"/>
      <c r="B167" s="29" t="n"/>
      <c r="C167" s="29" t="n"/>
      <c r="D167" s="29" t="n"/>
      <c r="E167" s="29" t="n"/>
      <c r="F167" s="29" t="n"/>
      <c r="G167" s="29" t="n"/>
      <c r="H167" s="29" t="n"/>
      <c r="I167" s="29" t="n"/>
      <c r="J167" s="29" t="n"/>
      <c r="K167" s="29" t="n"/>
      <c r="L167" s="29" t="n"/>
      <c r="M167" s="29" t="n"/>
      <c r="N167" s="29" t="n"/>
      <c r="O167" s="29" t="n"/>
      <c r="P167" s="29" t="n"/>
    </row>
    <row r="168">
      <c r="A168" s="29" t="n"/>
      <c r="B168" s="29" t="n"/>
      <c r="C168" s="29" t="n"/>
      <c r="D168" s="29" t="n"/>
      <c r="E168" s="29" t="n"/>
      <c r="F168" s="29" t="n"/>
      <c r="G168" s="29" t="n"/>
      <c r="H168" s="29" t="n"/>
      <c r="I168" s="29" t="n"/>
      <c r="J168" s="29" t="n"/>
      <c r="K168" s="29" t="n"/>
      <c r="L168" s="29" t="n"/>
      <c r="M168" s="29" t="n"/>
      <c r="N168" s="29" t="n"/>
      <c r="O168" s="29" t="n"/>
      <c r="P168" s="29" t="n"/>
    </row>
    <row r="169">
      <c r="A169" s="29" t="n"/>
      <c r="B169" s="29" t="n"/>
      <c r="C169" s="29" t="n"/>
      <c r="D169" s="29" t="n"/>
      <c r="E169" s="29" t="n"/>
      <c r="F169" s="29" t="n"/>
      <c r="G169" s="29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</row>
    <row r="170">
      <c r="A170" s="29" t="n"/>
      <c r="B170" s="29" t="n"/>
      <c r="C170" s="29" t="n"/>
      <c r="D170" s="29" t="n"/>
      <c r="E170" s="29" t="n"/>
      <c r="F170" s="29" t="n"/>
      <c r="G170" s="29" t="n"/>
      <c r="H170" s="29" t="n"/>
      <c r="I170" s="29" t="n"/>
      <c r="J170" s="29" t="n"/>
      <c r="K170" s="29" t="n"/>
      <c r="L170" s="29" t="n"/>
      <c r="M170" s="29" t="n"/>
      <c r="N170" s="29" t="n"/>
      <c r="O170" s="29" t="n"/>
      <c r="P170" s="29" t="n"/>
    </row>
    <row r="171">
      <c r="A171" s="29" t="n"/>
      <c r="B171" s="29" t="n"/>
      <c r="C171" s="29" t="n"/>
      <c r="D171" s="29" t="n"/>
      <c r="E171" s="29" t="n"/>
      <c r="F171" s="29" t="n"/>
      <c r="G171" s="29" t="n"/>
      <c r="H171" s="29" t="n"/>
      <c r="I171" s="29" t="n"/>
      <c r="J171" s="29" t="n"/>
      <c r="K171" s="29" t="n"/>
      <c r="L171" s="29" t="n"/>
      <c r="M171" s="29" t="n"/>
      <c r="N171" s="29" t="n"/>
      <c r="O171" s="29" t="n"/>
      <c r="P171" s="29" t="n"/>
    </row>
    <row r="172">
      <c r="A172" s="29" t="n"/>
      <c r="B172" s="29" t="n"/>
      <c r="C172" s="29" t="n"/>
      <c r="D172" s="29" t="n"/>
      <c r="E172" s="29" t="n"/>
      <c r="F172" s="29" t="n"/>
      <c r="G172" s="29" t="n"/>
      <c r="H172" s="29" t="n"/>
      <c r="I172" s="29" t="n"/>
      <c r="J172" s="29" t="n"/>
      <c r="K172" s="29" t="n"/>
      <c r="L172" s="29" t="n"/>
      <c r="M172" s="29" t="n"/>
      <c r="N172" s="29" t="n"/>
      <c r="O172" s="29" t="n"/>
      <c r="P172" s="29" t="n"/>
    </row>
    <row r="173">
      <c r="A173" s="29" t="n"/>
      <c r="B173" s="29" t="n"/>
      <c r="C173" s="29" t="n"/>
      <c r="D173" s="29" t="n"/>
      <c r="E173" s="29" t="n"/>
      <c r="F173" s="29" t="n"/>
      <c r="G173" s="29" t="n"/>
      <c r="H173" s="29" t="n"/>
      <c r="I173" s="29" t="n"/>
      <c r="J173" s="29" t="n"/>
      <c r="K173" s="29" t="n"/>
      <c r="L173" s="29" t="n"/>
      <c r="M173" s="29" t="n"/>
      <c r="N173" s="29" t="n"/>
      <c r="O173" s="29" t="n"/>
      <c r="P173" s="29" t="n"/>
    </row>
    <row r="174">
      <c r="A174" s="29" t="n"/>
      <c r="B174" s="29" t="n"/>
      <c r="C174" s="29" t="n"/>
      <c r="D174" s="29" t="n"/>
      <c r="E174" s="29" t="n"/>
      <c r="F174" s="29" t="n"/>
      <c r="G174" s="29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</row>
    <row r="175">
      <c r="A175" s="29" t="n"/>
      <c r="B175" s="29" t="n"/>
      <c r="C175" s="29" t="n"/>
      <c r="D175" s="29" t="n"/>
      <c r="E175" s="29" t="n"/>
      <c r="F175" s="29" t="n"/>
      <c r="G175" s="29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</row>
    <row r="176">
      <c r="A176" s="29" t="n"/>
      <c r="B176" s="29" t="n"/>
      <c r="C176" s="29" t="n"/>
      <c r="D176" s="29" t="n"/>
      <c r="E176" s="29" t="n"/>
      <c r="F176" s="29" t="n"/>
      <c r="G176" s="29" t="n"/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</row>
    <row r="177">
      <c r="A177" s="29" t="n"/>
      <c r="B177" s="29" t="n"/>
      <c r="C177" s="29" t="n"/>
      <c r="D177" s="29" t="n"/>
      <c r="E177" s="29" t="n"/>
      <c r="F177" s="29" t="n"/>
      <c r="G177" s="29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</row>
    <row r="178">
      <c r="A178" s="29" t="n"/>
      <c r="B178" s="29" t="n"/>
      <c r="C178" s="29" t="n"/>
      <c r="D178" s="29" t="n"/>
      <c r="E178" s="29" t="n"/>
      <c r="F178" s="29" t="n"/>
      <c r="G178" s="29" t="n"/>
      <c r="H178" s="29" t="n"/>
      <c r="I178" s="29" t="n"/>
      <c r="J178" s="29" t="n"/>
      <c r="K178" s="29" t="n"/>
      <c r="L178" s="29" t="n"/>
      <c r="M178" s="29" t="n"/>
      <c r="N178" s="29" t="n"/>
      <c r="O178" s="29" t="n"/>
      <c r="P178" s="29" t="n"/>
    </row>
    <row r="179">
      <c r="A179" s="29" t="n"/>
      <c r="B179" s="29" t="n"/>
      <c r="C179" s="29" t="n"/>
      <c r="D179" s="29" t="n"/>
      <c r="E179" s="29" t="n"/>
      <c r="F179" s="29" t="n"/>
      <c r="G179" s="29" t="n"/>
      <c r="H179" s="29" t="n"/>
      <c r="I179" s="29" t="n"/>
      <c r="J179" s="29" t="n"/>
      <c r="K179" s="29" t="n"/>
      <c r="L179" s="29" t="n"/>
      <c r="M179" s="29" t="n"/>
      <c r="N179" s="29" t="n"/>
      <c r="O179" s="29" t="n"/>
      <c r="P179" s="29" t="n"/>
    </row>
    <row r="180">
      <c r="A180" s="29" t="n"/>
      <c r="B180" s="29" t="n"/>
      <c r="C180" s="29" t="n"/>
      <c r="D180" s="29" t="n"/>
      <c r="E180" s="29" t="n"/>
      <c r="F180" s="29" t="n"/>
      <c r="G180" s="29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</row>
    <row r="181">
      <c r="A181" s="29" t="n"/>
      <c r="B181" s="29" t="n"/>
      <c r="C181" s="29" t="n"/>
      <c r="D181" s="29" t="n"/>
      <c r="E181" s="29" t="n"/>
      <c r="F181" s="29" t="n"/>
      <c r="G181" s="29" t="n"/>
      <c r="H181" s="29" t="n"/>
      <c r="I181" s="29" t="n"/>
      <c r="J181" s="29" t="n"/>
      <c r="K181" s="29" t="n"/>
      <c r="L181" s="29" t="n"/>
      <c r="M181" s="29" t="n"/>
      <c r="N181" s="29" t="n"/>
      <c r="O181" s="29" t="n"/>
      <c r="P181" s="29" t="n"/>
    </row>
    <row r="182">
      <c r="A182" s="29" t="n"/>
      <c r="B182" s="29" t="n"/>
      <c r="C182" s="29" t="n"/>
      <c r="D182" s="29" t="n"/>
      <c r="E182" s="29" t="n"/>
      <c r="F182" s="29" t="n"/>
      <c r="G182" s="29" t="n"/>
      <c r="H182" s="29" t="n"/>
      <c r="I182" s="29" t="n"/>
      <c r="J182" s="29" t="n"/>
      <c r="K182" s="29" t="n"/>
      <c r="L182" s="29" t="n"/>
      <c r="M182" s="29" t="n"/>
      <c r="N182" s="29" t="n"/>
      <c r="O182" s="29" t="n"/>
      <c r="P182" s="29" t="n"/>
    </row>
    <row r="183">
      <c r="A183" s="29" t="n"/>
      <c r="B183" s="29" t="n"/>
      <c r="C183" s="29" t="n"/>
      <c r="D183" s="29" t="n"/>
      <c r="E183" s="29" t="n"/>
      <c r="F183" s="29" t="n"/>
      <c r="G183" s="29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</row>
    <row r="184">
      <c r="A184" s="29" t="n"/>
      <c r="B184" s="29" t="n"/>
      <c r="C184" s="29" t="n"/>
      <c r="D184" s="29" t="n"/>
      <c r="E184" s="29" t="n"/>
      <c r="F184" s="29" t="n"/>
      <c r="G184" s="29" t="n"/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</row>
    <row r="185">
      <c r="A185" s="29" t="n"/>
      <c r="B185" s="29" t="n"/>
      <c r="C185" s="29" t="n"/>
      <c r="D185" s="29" t="n"/>
      <c r="E185" s="29" t="n"/>
      <c r="F185" s="29" t="n"/>
      <c r="G185" s="29" t="n"/>
      <c r="H185" s="29" t="n"/>
      <c r="I185" s="29" t="n"/>
      <c r="J185" s="29" t="n"/>
      <c r="K185" s="29" t="n"/>
      <c r="L185" s="29" t="n"/>
      <c r="M185" s="29" t="n"/>
      <c r="N185" s="29" t="n"/>
      <c r="O185" s="29" t="n"/>
      <c r="P185" s="29" t="n"/>
    </row>
    <row r="186">
      <c r="A186" s="29" t="n"/>
      <c r="B186" s="29" t="n"/>
      <c r="C186" s="29" t="n"/>
      <c r="D186" s="29" t="n"/>
      <c r="E186" s="29" t="n"/>
      <c r="F186" s="29" t="n"/>
      <c r="G186" s="29" t="n"/>
      <c r="H186" s="29" t="n"/>
      <c r="I186" s="29" t="n"/>
      <c r="J186" s="29" t="n"/>
      <c r="K186" s="29" t="n"/>
      <c r="L186" s="29" t="n"/>
      <c r="M186" s="29" t="n"/>
      <c r="N186" s="29" t="n"/>
      <c r="O186" s="29" t="n"/>
      <c r="P186" s="29" t="n"/>
    </row>
    <row r="187">
      <c r="A187" s="29" t="n"/>
      <c r="B187" s="29" t="n"/>
      <c r="C187" s="29" t="n"/>
      <c r="D187" s="29" t="n"/>
      <c r="E187" s="29" t="n"/>
      <c r="F187" s="29" t="n"/>
      <c r="G187" s="29" t="n"/>
      <c r="H187" s="29" t="n"/>
      <c r="I187" s="29" t="n"/>
      <c r="J187" s="29" t="n"/>
      <c r="K187" s="29" t="n"/>
      <c r="L187" s="29" t="n"/>
      <c r="M187" s="29" t="n"/>
      <c r="N187" s="29" t="n"/>
      <c r="O187" s="29" t="n"/>
      <c r="P187" s="29" t="n"/>
    </row>
    <row r="188">
      <c r="A188" s="29" t="n"/>
      <c r="B188" s="29" t="n"/>
      <c r="C188" s="29" t="n"/>
      <c r="D188" s="29" t="n"/>
      <c r="E188" s="29" t="n"/>
      <c r="F188" s="29" t="n"/>
      <c r="G188" s="29" t="n"/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</row>
    <row r="189">
      <c r="A189" s="29" t="n"/>
      <c r="B189" s="29" t="n"/>
      <c r="C189" s="29" t="n"/>
      <c r="D189" s="29" t="n"/>
      <c r="E189" s="29" t="n"/>
      <c r="F189" s="29" t="n"/>
      <c r="G189" s="29" t="n"/>
      <c r="H189" s="29" t="n"/>
      <c r="I189" s="29" t="n"/>
      <c r="J189" s="29" t="n"/>
      <c r="K189" s="29" t="n"/>
      <c r="L189" s="29" t="n"/>
      <c r="M189" s="29" t="n"/>
      <c r="N189" s="29" t="n"/>
      <c r="O189" s="29" t="n"/>
      <c r="P189" s="29" t="n"/>
    </row>
    <row r="190">
      <c r="A190" s="29" t="n"/>
      <c r="B190" s="29" t="n"/>
      <c r="C190" s="29" t="n"/>
      <c r="D190" s="29" t="n"/>
      <c r="E190" s="29" t="n"/>
      <c r="F190" s="29" t="n"/>
      <c r="G190" s="29" t="n"/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</row>
    <row r="191">
      <c r="A191" s="29" t="n"/>
      <c r="B191" s="29" t="n"/>
      <c r="C191" s="29" t="n"/>
      <c r="D191" s="29" t="n"/>
      <c r="E191" s="29" t="n"/>
      <c r="F191" s="29" t="n"/>
      <c r="G191" s="29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</row>
    <row r="192">
      <c r="A192" s="29" t="n"/>
      <c r="B192" s="29" t="n"/>
      <c r="C192" s="29" t="n"/>
      <c r="D192" s="29" t="n"/>
      <c r="E192" s="29" t="n"/>
      <c r="F192" s="29" t="n"/>
      <c r="G192" s="29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</row>
    <row r="193">
      <c r="A193" s="29" t="n"/>
      <c r="B193" s="29" t="n"/>
      <c r="C193" s="29" t="n"/>
      <c r="D193" s="29" t="n"/>
      <c r="E193" s="29" t="n"/>
      <c r="F193" s="29" t="n"/>
      <c r="G193" s="29" t="n"/>
      <c r="H193" s="29" t="n"/>
      <c r="I193" s="29" t="n"/>
      <c r="J193" s="29" t="n"/>
      <c r="K193" s="29" t="n"/>
      <c r="L193" s="29" t="n"/>
      <c r="M193" s="29" t="n"/>
      <c r="N193" s="29" t="n"/>
      <c r="O193" s="29" t="n"/>
      <c r="P193" s="29" t="n"/>
    </row>
    <row r="194">
      <c r="A194" s="29" t="n"/>
      <c r="B194" s="29" t="n"/>
      <c r="C194" s="29" t="n"/>
      <c r="D194" s="29" t="n"/>
      <c r="E194" s="29" t="n"/>
      <c r="F194" s="29" t="n"/>
      <c r="G194" s="29" t="n"/>
      <c r="H194" s="29" t="n"/>
      <c r="I194" s="29" t="n"/>
      <c r="J194" s="29" t="n"/>
      <c r="K194" s="29" t="n"/>
      <c r="L194" s="29" t="n"/>
      <c r="M194" s="29" t="n"/>
      <c r="N194" s="29" t="n"/>
      <c r="O194" s="29" t="n"/>
      <c r="P194" s="29" t="n"/>
    </row>
    <row r="195">
      <c r="A195" s="29" t="n"/>
      <c r="B195" s="29" t="n"/>
      <c r="C195" s="29" t="n"/>
      <c r="D195" s="29" t="n"/>
      <c r="E195" s="29" t="n"/>
      <c r="F195" s="29" t="n"/>
      <c r="G195" s="29" t="n"/>
      <c r="H195" s="29" t="n"/>
      <c r="I195" s="29" t="n"/>
      <c r="J195" s="29" t="n"/>
      <c r="K195" s="29" t="n"/>
      <c r="L195" s="29" t="n"/>
      <c r="M195" s="29" t="n"/>
      <c r="N195" s="29" t="n"/>
      <c r="O195" s="29" t="n"/>
      <c r="P195" s="29" t="n"/>
    </row>
    <row r="196">
      <c r="A196" s="29" t="n"/>
      <c r="B196" s="29" t="n"/>
      <c r="C196" s="29" t="n"/>
      <c r="D196" s="29" t="n"/>
      <c r="E196" s="29" t="n"/>
      <c r="F196" s="29" t="n"/>
      <c r="G196" s="29" t="n"/>
      <c r="H196" s="29" t="n"/>
      <c r="I196" s="29" t="n"/>
      <c r="J196" s="29" t="n"/>
      <c r="K196" s="29" t="n"/>
      <c r="L196" s="29" t="n"/>
      <c r="M196" s="29" t="n"/>
      <c r="N196" s="29" t="n"/>
      <c r="O196" s="29" t="n"/>
      <c r="P196" s="29" t="n"/>
    </row>
    <row r="197">
      <c r="A197" s="29" t="n"/>
      <c r="B197" s="29" t="n"/>
      <c r="C197" s="29" t="n"/>
      <c r="D197" s="29" t="n"/>
      <c r="E197" s="29" t="n"/>
      <c r="F197" s="29" t="n"/>
      <c r="G197" s="29" t="n"/>
      <c r="H197" s="29" t="n"/>
      <c r="I197" s="29" t="n"/>
      <c r="J197" s="29" t="n"/>
      <c r="K197" s="29" t="n"/>
      <c r="L197" s="29" t="n"/>
      <c r="M197" s="29" t="n"/>
      <c r="N197" s="29" t="n"/>
      <c r="O197" s="29" t="n"/>
      <c r="P197" s="29" t="n"/>
    </row>
    <row r="198">
      <c r="A198" s="29" t="n"/>
      <c r="B198" s="29" t="n"/>
      <c r="C198" s="29" t="n"/>
      <c r="D198" s="29" t="n"/>
      <c r="E198" s="29" t="n"/>
      <c r="F198" s="29" t="n"/>
      <c r="G198" s="29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</row>
    <row r="199">
      <c r="A199" s="29" t="n"/>
      <c r="B199" s="29" t="n"/>
      <c r="C199" s="29" t="n"/>
      <c r="D199" s="29" t="n"/>
      <c r="E199" s="29" t="n"/>
      <c r="F199" s="29" t="n"/>
      <c r="G199" s="29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</row>
    <row r="200">
      <c r="A200" s="29" t="n"/>
      <c r="B200" s="29" t="n"/>
      <c r="C200" s="29" t="n"/>
      <c r="D200" s="29" t="n"/>
      <c r="E200" s="29" t="n"/>
      <c r="F200" s="29" t="n"/>
      <c r="G200" s="29" t="n"/>
      <c r="H200" s="29" t="n"/>
      <c r="I200" s="29" t="n"/>
      <c r="J200" s="29" t="n"/>
      <c r="K200" s="29" t="n"/>
      <c r="L200" s="29" t="n"/>
      <c r="M200" s="29" t="n"/>
      <c r="N200" s="29" t="n"/>
      <c r="O200" s="29" t="n"/>
      <c r="P200" s="29" t="n"/>
    </row>
    <row r="201">
      <c r="A201" s="29" t="n"/>
      <c r="B201" s="29" t="n"/>
      <c r="C201" s="29" t="n"/>
      <c r="D201" s="29" t="n"/>
      <c r="E201" s="29" t="n"/>
      <c r="F201" s="29" t="n"/>
      <c r="G201" s="29" t="n"/>
      <c r="H201" s="29" t="n"/>
      <c r="I201" s="29" t="n"/>
      <c r="J201" s="29" t="n"/>
      <c r="K201" s="29" t="n"/>
      <c r="L201" s="29" t="n"/>
      <c r="M201" s="29" t="n"/>
      <c r="N201" s="29" t="n"/>
      <c r="O201" s="29" t="n"/>
      <c r="P201" s="29" t="n"/>
    </row>
    <row r="202">
      <c r="A202" s="29" t="n"/>
      <c r="B202" s="29" t="n"/>
      <c r="C202" s="29" t="n"/>
      <c r="D202" s="29" t="n"/>
      <c r="E202" s="29" t="n"/>
      <c r="F202" s="29" t="n"/>
      <c r="G202" s="29" t="n"/>
      <c r="H202" s="29" t="n"/>
      <c r="I202" s="29" t="n"/>
      <c r="J202" s="29" t="n"/>
      <c r="K202" s="29" t="n"/>
      <c r="L202" s="29" t="n"/>
      <c r="M202" s="29" t="n"/>
      <c r="N202" s="29" t="n"/>
      <c r="O202" s="29" t="n"/>
      <c r="P202" s="29" t="n"/>
    </row>
    <row r="203">
      <c r="A203" s="29" t="n"/>
      <c r="B203" s="29" t="n"/>
      <c r="C203" s="29" t="n"/>
      <c r="D203" s="29" t="n"/>
      <c r="E203" s="29" t="n"/>
      <c r="F203" s="29" t="n"/>
      <c r="G203" s="29" t="n"/>
      <c r="H203" s="29" t="n"/>
      <c r="I203" s="29" t="n"/>
      <c r="J203" s="29" t="n"/>
      <c r="K203" s="29" t="n"/>
      <c r="L203" s="29" t="n"/>
      <c r="M203" s="29" t="n"/>
      <c r="N203" s="29" t="n"/>
      <c r="O203" s="29" t="n"/>
      <c r="P203" s="29" t="n"/>
    </row>
    <row r="204">
      <c r="A204" s="29" t="n"/>
      <c r="B204" s="29" t="n"/>
      <c r="C204" s="29" t="n"/>
      <c r="D204" s="29" t="n"/>
      <c r="E204" s="29" t="n"/>
      <c r="F204" s="29" t="n"/>
      <c r="G204" s="29" t="n"/>
      <c r="H204" s="29" t="n"/>
      <c r="I204" s="29" t="n"/>
      <c r="J204" s="29" t="n"/>
      <c r="K204" s="29" t="n"/>
      <c r="L204" s="29" t="n"/>
      <c r="M204" s="29" t="n"/>
      <c r="N204" s="29" t="n"/>
      <c r="O204" s="29" t="n"/>
      <c r="P204" s="29" t="n"/>
    </row>
    <row r="205">
      <c r="A205" s="29" t="n"/>
      <c r="B205" s="29" t="n"/>
      <c r="C205" s="29" t="n"/>
      <c r="D205" s="29" t="n"/>
      <c r="E205" s="29" t="n"/>
      <c r="F205" s="29" t="n"/>
      <c r="G205" s="29" t="n"/>
      <c r="H205" s="29" t="n"/>
      <c r="I205" s="29" t="n"/>
      <c r="J205" s="29" t="n"/>
      <c r="K205" s="29" t="n"/>
      <c r="L205" s="29" t="n"/>
      <c r="M205" s="29" t="n"/>
      <c r="N205" s="29" t="n"/>
      <c r="O205" s="29" t="n"/>
      <c r="P205" s="29" t="n"/>
    </row>
    <row r="206">
      <c r="A206" s="29" t="n"/>
      <c r="B206" s="29" t="n"/>
      <c r="C206" s="29" t="n"/>
      <c r="D206" s="29" t="n"/>
      <c r="E206" s="29" t="n"/>
      <c r="F206" s="29" t="n"/>
      <c r="G206" s="29" t="n"/>
      <c r="H206" s="29" t="n"/>
      <c r="I206" s="29" t="n"/>
      <c r="J206" s="29" t="n"/>
      <c r="K206" s="29" t="n"/>
      <c r="L206" s="29" t="n"/>
      <c r="M206" s="29" t="n"/>
      <c r="N206" s="29" t="n"/>
      <c r="O206" s="29" t="n"/>
      <c r="P206" s="29" t="n"/>
    </row>
    <row r="207">
      <c r="A207" s="29" t="n"/>
      <c r="B207" s="29" t="n"/>
      <c r="C207" s="29" t="n"/>
      <c r="D207" s="29" t="n"/>
      <c r="E207" s="29" t="n"/>
      <c r="F207" s="29" t="n"/>
      <c r="G207" s="29" t="n"/>
      <c r="H207" s="29" t="n"/>
      <c r="I207" s="29" t="n"/>
      <c r="J207" s="29" t="n"/>
      <c r="K207" s="29" t="n"/>
      <c r="L207" s="29" t="n"/>
      <c r="M207" s="29" t="n"/>
      <c r="N207" s="29" t="n"/>
      <c r="O207" s="29" t="n"/>
      <c r="P207" s="29" t="n"/>
    </row>
    <row r="208">
      <c r="A208" s="29" t="n"/>
      <c r="B208" s="29" t="n"/>
      <c r="C208" s="29" t="n"/>
      <c r="D208" s="29" t="n"/>
      <c r="E208" s="29" t="n"/>
      <c r="F208" s="29" t="n"/>
      <c r="G208" s="29" t="n"/>
      <c r="H208" s="29" t="n"/>
      <c r="I208" s="29" t="n"/>
      <c r="J208" s="29" t="n"/>
      <c r="K208" s="29" t="n"/>
      <c r="L208" s="29" t="n"/>
      <c r="M208" s="29" t="n"/>
      <c r="N208" s="29" t="n"/>
      <c r="O208" s="29" t="n"/>
      <c r="P208" s="29" t="n"/>
    </row>
    <row r="209">
      <c r="A209" s="29" t="n"/>
      <c r="B209" s="29" t="n"/>
      <c r="C209" s="29" t="n"/>
      <c r="D209" s="29" t="n"/>
      <c r="E209" s="29" t="n"/>
      <c r="F209" s="29" t="n"/>
      <c r="G209" s="29" t="n"/>
      <c r="H209" s="29" t="n"/>
      <c r="I209" s="29" t="n"/>
      <c r="J209" s="29" t="n"/>
      <c r="K209" s="29" t="n"/>
      <c r="L209" s="29" t="n"/>
      <c r="M209" s="29" t="n"/>
      <c r="N209" s="29" t="n"/>
      <c r="O209" s="29" t="n"/>
      <c r="P209" s="29" t="n"/>
    </row>
    <row r="210">
      <c r="A210" s="29" t="n"/>
      <c r="B210" s="29" t="n"/>
      <c r="C210" s="29" t="n"/>
      <c r="D210" s="29" t="n"/>
      <c r="E210" s="29" t="n"/>
      <c r="F210" s="29" t="n"/>
      <c r="G210" s="29" t="n"/>
      <c r="H210" s="29" t="n"/>
      <c r="I210" s="29" t="n"/>
      <c r="J210" s="29" t="n"/>
      <c r="K210" s="29" t="n"/>
      <c r="L210" s="29" t="n"/>
      <c r="M210" s="29" t="n"/>
      <c r="N210" s="29" t="n"/>
      <c r="O210" s="29" t="n"/>
      <c r="P210" s="29" t="n"/>
    </row>
    <row r="211">
      <c r="A211" s="29" t="n"/>
      <c r="B211" s="29" t="n"/>
      <c r="C211" s="29" t="n"/>
      <c r="D211" s="29" t="n"/>
      <c r="E211" s="29" t="n"/>
      <c r="F211" s="29" t="n"/>
      <c r="G211" s="29" t="n"/>
      <c r="H211" s="29" t="n"/>
      <c r="I211" s="29" t="n"/>
      <c r="J211" s="29" t="n"/>
      <c r="K211" s="29" t="n"/>
      <c r="L211" s="29" t="n"/>
      <c r="M211" s="29" t="n"/>
      <c r="N211" s="29" t="n"/>
      <c r="O211" s="29" t="n"/>
      <c r="P211" s="29" t="n"/>
    </row>
    <row r="212">
      <c r="A212" s="29" t="n"/>
      <c r="B212" s="29" t="n"/>
      <c r="C212" s="29" t="n"/>
      <c r="D212" s="29" t="n"/>
      <c r="E212" s="29" t="n"/>
      <c r="F212" s="29" t="n"/>
      <c r="G212" s="29" t="n"/>
      <c r="H212" s="29" t="n"/>
      <c r="I212" s="29" t="n"/>
      <c r="J212" s="29" t="n"/>
      <c r="K212" s="29" t="n"/>
      <c r="L212" s="29" t="n"/>
      <c r="M212" s="29" t="n"/>
      <c r="N212" s="29" t="n"/>
      <c r="O212" s="29" t="n"/>
      <c r="P212" s="29" t="n"/>
    </row>
    <row r="213">
      <c r="A213" s="29" t="n"/>
      <c r="B213" s="29" t="n"/>
      <c r="C213" s="29" t="n"/>
      <c r="D213" s="29" t="n"/>
      <c r="E213" s="29" t="n"/>
      <c r="F213" s="29" t="n"/>
      <c r="G213" s="29" t="n"/>
      <c r="H213" s="29" t="n"/>
      <c r="I213" s="29" t="n"/>
      <c r="J213" s="29" t="n"/>
      <c r="K213" s="29" t="n"/>
      <c r="L213" s="29" t="n"/>
      <c r="M213" s="29" t="n"/>
      <c r="N213" s="29" t="n"/>
      <c r="O213" s="29" t="n"/>
      <c r="P213" s="29" t="n"/>
    </row>
    <row r="214">
      <c r="A214" s="29" t="n"/>
      <c r="B214" s="29" t="n"/>
      <c r="C214" s="29" t="n"/>
      <c r="D214" s="29" t="n"/>
      <c r="E214" s="29" t="n"/>
      <c r="F214" s="29" t="n"/>
      <c r="G214" s="29" t="n"/>
      <c r="H214" s="29" t="n"/>
      <c r="I214" s="29" t="n"/>
      <c r="J214" s="29" t="n"/>
      <c r="K214" s="29" t="n"/>
      <c r="L214" s="29" t="n"/>
      <c r="M214" s="29" t="n"/>
      <c r="N214" s="29" t="n"/>
      <c r="O214" s="29" t="n"/>
      <c r="P214" s="29" t="n"/>
    </row>
    <row r="215">
      <c r="A215" s="29" t="n"/>
      <c r="B215" s="29" t="n"/>
      <c r="C215" s="29" t="n"/>
      <c r="D215" s="29" t="n"/>
      <c r="E215" s="29" t="n"/>
      <c r="F215" s="29" t="n"/>
      <c r="G215" s="29" t="n"/>
      <c r="H215" s="29" t="n"/>
      <c r="I215" s="29" t="n"/>
      <c r="J215" s="29" t="n"/>
      <c r="K215" s="29" t="n"/>
      <c r="L215" s="29" t="n"/>
      <c r="M215" s="29" t="n"/>
      <c r="N215" s="29" t="n"/>
      <c r="O215" s="29" t="n"/>
      <c r="P215" s="29" t="n"/>
    </row>
    <row r="216">
      <c r="A216" s="29" t="n"/>
      <c r="B216" s="29" t="n"/>
      <c r="C216" s="29" t="n"/>
      <c r="D216" s="29" t="n"/>
      <c r="E216" s="29" t="n"/>
      <c r="F216" s="29" t="n"/>
      <c r="G216" s="29" t="n"/>
      <c r="H216" s="29" t="n"/>
      <c r="I216" s="29" t="n"/>
      <c r="J216" s="29" t="n"/>
      <c r="K216" s="29" t="n"/>
      <c r="L216" s="29" t="n"/>
      <c r="M216" s="29" t="n"/>
      <c r="N216" s="29" t="n"/>
      <c r="O216" s="29" t="n"/>
      <c r="P216" s="29" t="n"/>
    </row>
    <row r="217">
      <c r="A217" s="29" t="n"/>
      <c r="B217" s="29" t="n"/>
      <c r="C217" s="29" t="n"/>
      <c r="D217" s="29" t="n"/>
      <c r="E217" s="29" t="n"/>
      <c r="F217" s="29" t="n"/>
      <c r="G217" s="29" t="n"/>
      <c r="H217" s="29" t="n"/>
      <c r="I217" s="29" t="n"/>
      <c r="J217" s="29" t="n"/>
      <c r="K217" s="29" t="n"/>
      <c r="L217" s="29" t="n"/>
      <c r="M217" s="29" t="n"/>
      <c r="N217" s="29" t="n"/>
      <c r="O217" s="29" t="n"/>
      <c r="P217" s="29" t="n"/>
    </row>
    <row r="218">
      <c r="A218" s="29" t="n"/>
      <c r="B218" s="29" t="n"/>
      <c r="C218" s="29" t="n"/>
      <c r="D218" s="29" t="n"/>
      <c r="E218" s="29" t="n"/>
      <c r="F218" s="29" t="n"/>
      <c r="G218" s="29" t="n"/>
      <c r="H218" s="29" t="n"/>
      <c r="I218" s="29" t="n"/>
      <c r="J218" s="29" t="n"/>
      <c r="K218" s="29" t="n"/>
      <c r="L218" s="29" t="n"/>
      <c r="M218" s="29" t="n"/>
      <c r="N218" s="29" t="n"/>
      <c r="O218" s="29" t="n"/>
      <c r="P218" s="29" t="n"/>
    </row>
    <row r="219">
      <c r="A219" s="29" t="n"/>
      <c r="B219" s="29" t="n"/>
      <c r="C219" s="29" t="n"/>
      <c r="D219" s="29" t="n"/>
      <c r="E219" s="29" t="n"/>
      <c r="F219" s="29" t="n"/>
      <c r="G219" s="29" t="n"/>
      <c r="H219" s="29" t="n"/>
      <c r="I219" s="29" t="n"/>
      <c r="J219" s="29" t="n"/>
      <c r="K219" s="29" t="n"/>
      <c r="L219" s="29" t="n"/>
      <c r="M219" s="29" t="n"/>
      <c r="N219" s="29" t="n"/>
      <c r="O219" s="29" t="n"/>
      <c r="P219" s="29" t="n"/>
    </row>
    <row r="220">
      <c r="A220" s="29" t="n"/>
      <c r="B220" s="29" t="n"/>
      <c r="C220" s="29" t="n"/>
      <c r="D220" s="29" t="n"/>
      <c r="E220" s="29" t="n"/>
      <c r="F220" s="29" t="n"/>
      <c r="G220" s="29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</row>
    <row r="221">
      <c r="A221" s="29" t="n"/>
      <c r="B221" s="29" t="n"/>
      <c r="C221" s="29" t="n"/>
      <c r="D221" s="29" t="n"/>
      <c r="E221" s="29" t="n"/>
      <c r="F221" s="29" t="n"/>
      <c r="G221" s="29" t="n"/>
      <c r="H221" s="29" t="n"/>
      <c r="I221" s="29" t="n"/>
      <c r="J221" s="29" t="n"/>
      <c r="K221" s="29" t="n"/>
      <c r="L221" s="29" t="n"/>
      <c r="M221" s="29" t="n"/>
      <c r="N221" s="29" t="n"/>
      <c r="O221" s="29" t="n"/>
      <c r="P221" s="29" t="n"/>
    </row>
    <row r="222">
      <c r="A222" s="29" t="n"/>
      <c r="B222" s="29" t="n"/>
      <c r="C222" s="29" t="n"/>
      <c r="D222" s="29" t="n"/>
      <c r="E222" s="29" t="n"/>
      <c r="F222" s="29" t="n"/>
      <c r="G222" s="29" t="n"/>
      <c r="H222" s="29" t="n"/>
      <c r="I222" s="29" t="n"/>
      <c r="J222" s="29" t="n"/>
      <c r="K222" s="29" t="n"/>
      <c r="L222" s="29" t="n"/>
      <c r="M222" s="29" t="n"/>
      <c r="N222" s="29" t="n"/>
      <c r="O222" s="29" t="n"/>
      <c r="P222" s="29" t="n"/>
    </row>
    <row r="223">
      <c r="A223" s="29" t="n"/>
      <c r="B223" s="29" t="n"/>
      <c r="C223" s="29" t="n"/>
      <c r="D223" s="29" t="n"/>
      <c r="E223" s="29" t="n"/>
      <c r="F223" s="29" t="n"/>
      <c r="G223" s="29" t="n"/>
      <c r="H223" s="29" t="n"/>
      <c r="I223" s="29" t="n"/>
      <c r="J223" s="29" t="n"/>
      <c r="K223" s="29" t="n"/>
      <c r="L223" s="29" t="n"/>
      <c r="M223" s="29" t="n"/>
      <c r="N223" s="29" t="n"/>
      <c r="O223" s="29" t="n"/>
      <c r="P223" s="29" t="n"/>
    </row>
    <row r="224">
      <c r="A224" s="29" t="n"/>
      <c r="B224" s="29" t="n"/>
      <c r="C224" s="29" t="n"/>
      <c r="D224" s="29" t="n"/>
      <c r="E224" s="29" t="n"/>
      <c r="F224" s="29" t="n"/>
      <c r="G224" s="29" t="n"/>
      <c r="H224" s="29" t="n"/>
      <c r="I224" s="29" t="n"/>
      <c r="J224" s="29" t="n"/>
      <c r="K224" s="29" t="n"/>
      <c r="L224" s="29" t="n"/>
      <c r="M224" s="29" t="n"/>
      <c r="N224" s="29" t="n"/>
      <c r="O224" s="29" t="n"/>
      <c r="P224" s="29" t="n"/>
    </row>
    <row r="225">
      <c r="A225" s="29" t="n"/>
      <c r="B225" s="29" t="n"/>
      <c r="C225" s="29" t="n"/>
      <c r="D225" s="29" t="n"/>
      <c r="E225" s="29" t="n"/>
      <c r="F225" s="29" t="n"/>
      <c r="G225" s="29" t="n"/>
      <c r="H225" s="29" t="n"/>
      <c r="I225" s="29" t="n"/>
      <c r="J225" s="29" t="n"/>
      <c r="K225" s="29" t="n"/>
      <c r="L225" s="29" t="n"/>
      <c r="M225" s="29" t="n"/>
      <c r="N225" s="29" t="n"/>
      <c r="O225" s="29" t="n"/>
      <c r="P225" s="29" t="n"/>
    </row>
    <row r="226">
      <c r="A226" s="29" t="n"/>
      <c r="B226" s="29" t="n"/>
      <c r="C226" s="29" t="n"/>
      <c r="D226" s="29" t="n"/>
      <c r="E226" s="29" t="n"/>
      <c r="F226" s="29" t="n"/>
      <c r="G226" s="29" t="n"/>
      <c r="H226" s="29" t="n"/>
      <c r="I226" s="29" t="n"/>
      <c r="J226" s="29" t="n"/>
      <c r="K226" s="29" t="n"/>
      <c r="L226" s="29" t="n"/>
      <c r="M226" s="29" t="n"/>
      <c r="N226" s="29" t="n"/>
      <c r="O226" s="29" t="n"/>
      <c r="P226" s="29" t="n"/>
    </row>
    <row r="227">
      <c r="A227" s="29" t="n"/>
      <c r="B227" s="29" t="n"/>
      <c r="C227" s="29" t="n"/>
      <c r="D227" s="29" t="n"/>
      <c r="E227" s="29" t="n"/>
      <c r="F227" s="29" t="n"/>
      <c r="G227" s="29" t="n"/>
      <c r="H227" s="29" t="n"/>
      <c r="I227" s="29" t="n"/>
      <c r="J227" s="29" t="n"/>
      <c r="K227" s="29" t="n"/>
      <c r="L227" s="29" t="n"/>
      <c r="M227" s="29" t="n"/>
      <c r="N227" s="29" t="n"/>
      <c r="O227" s="29" t="n"/>
      <c r="P227" s="29" t="n"/>
    </row>
    <row r="228">
      <c r="A228" s="29" t="n"/>
      <c r="B228" s="29" t="n"/>
      <c r="C228" s="29" t="n"/>
      <c r="D228" s="29" t="n"/>
      <c r="E228" s="29" t="n"/>
      <c r="F228" s="29" t="n"/>
      <c r="G228" s="29" t="n"/>
      <c r="H228" s="29" t="n"/>
      <c r="I228" s="29" t="n"/>
      <c r="J228" s="29" t="n"/>
      <c r="K228" s="29" t="n"/>
      <c r="L228" s="29" t="n"/>
      <c r="M228" s="29" t="n"/>
      <c r="N228" s="29" t="n"/>
      <c r="O228" s="29" t="n"/>
      <c r="P228" s="29" t="n"/>
    </row>
    <row r="229">
      <c r="A229" s="29" t="n"/>
      <c r="B229" s="29" t="n"/>
      <c r="C229" s="29" t="n"/>
      <c r="D229" s="29" t="n"/>
      <c r="E229" s="29" t="n"/>
      <c r="F229" s="29" t="n"/>
      <c r="G229" s="29" t="n"/>
      <c r="H229" s="29" t="n"/>
      <c r="I229" s="29" t="n"/>
      <c r="J229" s="29" t="n"/>
      <c r="K229" s="29" t="n"/>
      <c r="L229" s="29" t="n"/>
      <c r="M229" s="29" t="n"/>
      <c r="N229" s="29" t="n"/>
      <c r="O229" s="29" t="n"/>
      <c r="P229" s="29" t="n"/>
    </row>
    <row r="230">
      <c r="A230" s="29" t="n"/>
      <c r="B230" s="29" t="n"/>
      <c r="C230" s="29" t="n"/>
      <c r="D230" s="29" t="n"/>
      <c r="E230" s="29" t="n"/>
      <c r="F230" s="29" t="n"/>
      <c r="G230" s="29" t="n"/>
      <c r="H230" s="29" t="n"/>
      <c r="I230" s="29" t="n"/>
      <c r="J230" s="29" t="n"/>
      <c r="K230" s="29" t="n"/>
      <c r="L230" s="29" t="n"/>
      <c r="M230" s="29" t="n"/>
      <c r="N230" s="29" t="n"/>
      <c r="O230" s="29" t="n"/>
      <c r="P230" s="29" t="n"/>
    </row>
    <row r="231">
      <c r="A231" s="29" t="n"/>
      <c r="B231" s="29" t="n"/>
      <c r="C231" s="29" t="n"/>
      <c r="D231" s="29" t="n"/>
      <c r="E231" s="29" t="n"/>
      <c r="F231" s="29" t="n"/>
      <c r="G231" s="29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</row>
    <row r="232">
      <c r="A232" s="29" t="n"/>
      <c r="B232" s="29" t="n"/>
      <c r="C232" s="29" t="n"/>
      <c r="D232" s="29" t="n"/>
      <c r="E232" s="29" t="n"/>
      <c r="F232" s="29" t="n"/>
      <c r="G232" s="29" t="n"/>
      <c r="H232" s="29" t="n"/>
      <c r="I232" s="29" t="n"/>
      <c r="J232" s="29" t="n"/>
      <c r="K232" s="29" t="n"/>
      <c r="L232" s="29" t="n"/>
      <c r="M232" s="29" t="n"/>
      <c r="N232" s="29" t="n"/>
      <c r="O232" s="29" t="n"/>
      <c r="P232" s="29" t="n"/>
    </row>
    <row r="233">
      <c r="A233" s="29" t="n"/>
      <c r="B233" s="29" t="n"/>
      <c r="C233" s="29" t="n"/>
      <c r="D233" s="29" t="n"/>
      <c r="E233" s="29" t="n"/>
      <c r="F233" s="29" t="n"/>
      <c r="G233" s="29" t="n"/>
      <c r="H233" s="29" t="n"/>
      <c r="I233" s="29" t="n"/>
      <c r="J233" s="29" t="n"/>
      <c r="K233" s="29" t="n"/>
      <c r="L233" s="29" t="n"/>
      <c r="M233" s="29" t="n"/>
      <c r="N233" s="29" t="n"/>
      <c r="O233" s="29" t="n"/>
      <c r="P233" s="29" t="n"/>
    </row>
    <row r="234">
      <c r="A234" s="29" t="n"/>
      <c r="B234" s="29" t="n"/>
      <c r="C234" s="29" t="n"/>
      <c r="D234" s="29" t="n"/>
      <c r="E234" s="29" t="n"/>
      <c r="F234" s="29" t="n"/>
      <c r="G234" s="29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</row>
    <row r="235">
      <c r="A235" s="29" t="n"/>
      <c r="B235" s="29" t="n"/>
      <c r="C235" s="29" t="n"/>
      <c r="D235" s="29" t="n"/>
      <c r="E235" s="29" t="n"/>
      <c r="F235" s="29" t="n"/>
      <c r="G235" s="29" t="n"/>
      <c r="H235" s="29" t="n"/>
      <c r="I235" s="29" t="n"/>
      <c r="J235" s="29" t="n"/>
      <c r="K235" s="29" t="n"/>
      <c r="L235" s="29" t="n"/>
      <c r="M235" s="29" t="n"/>
      <c r="N235" s="29" t="n"/>
      <c r="O235" s="29" t="n"/>
      <c r="P235" s="29" t="n"/>
    </row>
    <row r="236">
      <c r="A236" s="29" t="n"/>
      <c r="B236" s="29" t="n"/>
      <c r="C236" s="29" t="n"/>
      <c r="D236" s="29" t="n"/>
      <c r="E236" s="29" t="n"/>
      <c r="F236" s="29" t="n"/>
      <c r="G236" s="29" t="n"/>
      <c r="H236" s="29" t="n"/>
      <c r="I236" s="29" t="n"/>
      <c r="J236" s="29" t="n"/>
      <c r="K236" s="29" t="n"/>
      <c r="L236" s="29" t="n"/>
      <c r="M236" s="29" t="n"/>
      <c r="N236" s="29" t="n"/>
      <c r="O236" s="29" t="n"/>
      <c r="P236" s="29" t="n"/>
    </row>
    <row r="237">
      <c r="A237" s="29" t="n"/>
      <c r="B237" s="29" t="n"/>
      <c r="C237" s="29" t="n"/>
      <c r="D237" s="29" t="n"/>
      <c r="E237" s="29" t="n"/>
      <c r="F237" s="29" t="n"/>
      <c r="G237" s="29" t="n"/>
      <c r="H237" s="29" t="n"/>
      <c r="I237" s="29" t="n"/>
      <c r="J237" s="29" t="n"/>
      <c r="K237" s="29" t="n"/>
      <c r="L237" s="29" t="n"/>
      <c r="M237" s="29" t="n"/>
      <c r="N237" s="29" t="n"/>
      <c r="O237" s="29" t="n"/>
      <c r="P237" s="29" t="n"/>
    </row>
    <row r="238">
      <c r="A238" s="29" t="n"/>
      <c r="B238" s="29" t="n"/>
      <c r="C238" s="29" t="n"/>
      <c r="D238" s="29" t="n"/>
      <c r="E238" s="29" t="n"/>
      <c r="F238" s="29" t="n"/>
      <c r="G238" s="29" t="n"/>
      <c r="H238" s="29" t="n"/>
      <c r="I238" s="29" t="n"/>
      <c r="J238" s="29" t="n"/>
      <c r="K238" s="29" t="n"/>
      <c r="L238" s="29" t="n"/>
      <c r="M238" s="29" t="n"/>
      <c r="N238" s="29" t="n"/>
      <c r="O238" s="29" t="n"/>
      <c r="P238" s="29" t="n"/>
    </row>
    <row r="239">
      <c r="A239" s="29" t="n"/>
      <c r="B239" s="29" t="n"/>
      <c r="C239" s="29" t="n"/>
      <c r="D239" s="29" t="n"/>
      <c r="E239" s="29" t="n"/>
      <c r="F239" s="29" t="n"/>
      <c r="G239" s="29" t="n"/>
      <c r="H239" s="29" t="n"/>
      <c r="I239" s="29" t="n"/>
      <c r="J239" s="29" t="n"/>
      <c r="K239" s="29" t="n"/>
      <c r="L239" s="29" t="n"/>
      <c r="M239" s="29" t="n"/>
      <c r="N239" s="29" t="n"/>
      <c r="O239" s="29" t="n"/>
      <c r="P239" s="29" t="n"/>
    </row>
    <row r="240">
      <c r="A240" s="29" t="n"/>
      <c r="B240" s="29" t="n"/>
      <c r="C240" s="29" t="n"/>
      <c r="D240" s="29" t="n"/>
      <c r="E240" s="29" t="n"/>
      <c r="F240" s="29" t="n"/>
      <c r="G240" s="29" t="n"/>
      <c r="H240" s="29" t="n"/>
      <c r="I240" s="29" t="n"/>
      <c r="J240" s="29" t="n"/>
      <c r="K240" s="29" t="n"/>
      <c r="L240" s="29" t="n"/>
      <c r="M240" s="29" t="n"/>
      <c r="N240" s="29" t="n"/>
      <c r="O240" s="29" t="n"/>
      <c r="P240" s="29" t="n"/>
    </row>
    <row r="241">
      <c r="A241" s="29" t="n"/>
      <c r="B241" s="29" t="n"/>
      <c r="C241" s="29" t="n"/>
      <c r="D241" s="29" t="n"/>
      <c r="E241" s="29" t="n"/>
      <c r="F241" s="29" t="n"/>
      <c r="G241" s="29" t="n"/>
      <c r="H241" s="29" t="n"/>
      <c r="I241" s="29" t="n"/>
      <c r="J241" s="29" t="n"/>
      <c r="K241" s="29" t="n"/>
      <c r="L241" s="29" t="n"/>
      <c r="M241" s="29" t="n"/>
      <c r="N241" s="29" t="n"/>
      <c r="O241" s="29" t="n"/>
      <c r="P241" s="29" t="n"/>
    </row>
    <row r="242">
      <c r="A242" s="29" t="n"/>
      <c r="B242" s="29" t="n"/>
      <c r="C242" s="29" t="n"/>
      <c r="D242" s="29" t="n"/>
      <c r="E242" s="29" t="n"/>
      <c r="F242" s="29" t="n"/>
      <c r="G242" s="29" t="n"/>
      <c r="H242" s="29" t="n"/>
      <c r="I242" s="29" t="n"/>
      <c r="J242" s="29" t="n"/>
      <c r="K242" s="29" t="n"/>
      <c r="L242" s="29" t="n"/>
      <c r="M242" s="29" t="n"/>
      <c r="N242" s="29" t="n"/>
      <c r="O242" s="29" t="n"/>
      <c r="P242" s="29" t="n"/>
    </row>
    <row r="243">
      <c r="A243" s="29" t="n"/>
      <c r="B243" s="29" t="n"/>
      <c r="C243" s="29" t="n"/>
      <c r="D243" s="29" t="n"/>
      <c r="E243" s="29" t="n"/>
      <c r="F243" s="29" t="n"/>
      <c r="G243" s="29" t="n"/>
      <c r="H243" s="29" t="n"/>
      <c r="I243" s="29" t="n"/>
      <c r="J243" s="29" t="n"/>
      <c r="K243" s="29" t="n"/>
      <c r="L243" s="29" t="n"/>
      <c r="M243" s="29" t="n"/>
      <c r="N243" s="29" t="n"/>
      <c r="O243" s="29" t="n"/>
      <c r="P243" s="29" t="n"/>
    </row>
    <row r="244">
      <c r="A244" s="29" t="n"/>
      <c r="B244" s="29" t="n"/>
      <c r="C244" s="29" t="n"/>
      <c r="D244" s="29" t="n"/>
      <c r="E244" s="29" t="n"/>
      <c r="F244" s="29" t="n"/>
      <c r="G244" s="29" t="n"/>
      <c r="H244" s="29" t="n"/>
      <c r="I244" s="29" t="n"/>
      <c r="J244" s="29" t="n"/>
      <c r="K244" s="29" t="n"/>
      <c r="L244" s="29" t="n"/>
      <c r="M244" s="29" t="n"/>
      <c r="N244" s="29" t="n"/>
      <c r="O244" s="29" t="n"/>
      <c r="P244" s="29" t="n"/>
    </row>
    <row r="245">
      <c r="A245" s="29" t="n"/>
      <c r="B245" s="29" t="n"/>
      <c r="C245" s="29" t="n"/>
      <c r="D245" s="29" t="n"/>
      <c r="E245" s="29" t="n"/>
      <c r="F245" s="29" t="n"/>
      <c r="G245" s="29" t="n"/>
      <c r="H245" s="29" t="n"/>
      <c r="I245" s="29" t="n"/>
      <c r="J245" s="29" t="n"/>
      <c r="K245" s="29" t="n"/>
      <c r="L245" s="29" t="n"/>
      <c r="M245" s="29" t="n"/>
      <c r="N245" s="29" t="n"/>
      <c r="O245" s="29" t="n"/>
      <c r="P245" s="29" t="n"/>
    </row>
    <row r="246">
      <c r="A246" s="29" t="n"/>
      <c r="B246" s="29" t="n"/>
      <c r="C246" s="29" t="n"/>
      <c r="D246" s="29" t="n"/>
      <c r="E246" s="29" t="n"/>
      <c r="F246" s="29" t="n"/>
      <c r="G246" s="29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</row>
    <row r="247">
      <c r="A247" s="29" t="n"/>
      <c r="B247" s="29" t="n"/>
      <c r="C247" s="29" t="n"/>
      <c r="D247" s="29" t="n"/>
      <c r="E247" s="29" t="n"/>
      <c r="F247" s="29" t="n"/>
      <c r="G247" s="29" t="n"/>
      <c r="H247" s="29" t="n"/>
      <c r="I247" s="29" t="n"/>
      <c r="J247" s="29" t="n"/>
      <c r="K247" s="29" t="n"/>
      <c r="L247" s="29" t="n"/>
      <c r="M247" s="29" t="n"/>
      <c r="N247" s="29" t="n"/>
      <c r="O247" s="29" t="n"/>
      <c r="P247" s="29" t="n"/>
    </row>
    <row r="248">
      <c r="A248" s="29" t="n"/>
      <c r="B248" s="29" t="n"/>
      <c r="C248" s="29" t="n"/>
      <c r="D248" s="29" t="n"/>
      <c r="E248" s="29" t="n"/>
      <c r="F248" s="29" t="n"/>
      <c r="G248" s="29" t="n"/>
      <c r="H248" s="29" t="n"/>
      <c r="I248" s="29" t="n"/>
      <c r="J248" s="29" t="n"/>
      <c r="K248" s="29" t="n"/>
      <c r="L248" s="29" t="n"/>
      <c r="M248" s="29" t="n"/>
      <c r="N248" s="29" t="n"/>
      <c r="O248" s="29" t="n"/>
      <c r="P248" s="29" t="n"/>
    </row>
    <row r="249">
      <c r="A249" s="29" t="n"/>
      <c r="B249" s="29" t="n"/>
      <c r="C249" s="29" t="n"/>
      <c r="D249" s="29" t="n"/>
      <c r="E249" s="29" t="n"/>
      <c r="F249" s="29" t="n"/>
      <c r="G249" s="29" t="n"/>
      <c r="H249" s="29" t="n"/>
      <c r="I249" s="29" t="n"/>
      <c r="J249" s="29" t="n"/>
      <c r="K249" s="29" t="n"/>
      <c r="L249" s="29" t="n"/>
      <c r="M249" s="29" t="n"/>
      <c r="N249" s="29" t="n"/>
      <c r="O249" s="29" t="n"/>
      <c r="P249" s="29" t="n"/>
    </row>
    <row r="250">
      <c r="A250" s="29" t="n"/>
      <c r="B250" s="29" t="n"/>
      <c r="C250" s="29" t="n"/>
      <c r="D250" s="29" t="n"/>
      <c r="E250" s="29" t="n"/>
      <c r="F250" s="29" t="n"/>
      <c r="G250" s="29" t="n"/>
      <c r="H250" s="29" t="n"/>
      <c r="I250" s="29" t="n"/>
      <c r="J250" s="29" t="n"/>
      <c r="K250" s="29" t="n"/>
      <c r="L250" s="29" t="n"/>
      <c r="M250" s="29" t="n"/>
      <c r="N250" s="29" t="n"/>
      <c r="O250" s="29" t="n"/>
      <c r="P250" s="29" t="n"/>
    </row>
    <row r="251">
      <c r="A251" s="29" t="n"/>
      <c r="B251" s="29" t="n"/>
      <c r="C251" s="29" t="n"/>
      <c r="D251" s="29" t="n"/>
      <c r="E251" s="29" t="n"/>
      <c r="F251" s="29" t="n"/>
      <c r="G251" s="29" t="n"/>
      <c r="H251" s="29" t="n"/>
      <c r="I251" s="29" t="n"/>
      <c r="J251" s="29" t="n"/>
      <c r="K251" s="29" t="n"/>
      <c r="L251" s="29" t="n"/>
      <c r="M251" s="29" t="n"/>
      <c r="N251" s="29" t="n"/>
      <c r="O251" s="29" t="n"/>
      <c r="P251" s="29" t="n"/>
    </row>
    <row r="252">
      <c r="A252" s="29" t="n"/>
      <c r="B252" s="29" t="n"/>
      <c r="C252" s="29" t="n"/>
      <c r="D252" s="29" t="n"/>
      <c r="E252" s="29" t="n"/>
      <c r="F252" s="29" t="n"/>
      <c r="G252" s="29" t="n"/>
      <c r="H252" s="29" t="n"/>
      <c r="I252" s="29" t="n"/>
      <c r="J252" s="29" t="n"/>
      <c r="K252" s="29" t="n"/>
      <c r="L252" s="29" t="n"/>
      <c r="M252" s="29" t="n"/>
      <c r="N252" s="29" t="n"/>
      <c r="O252" s="29" t="n"/>
      <c r="P252" s="29" t="n"/>
    </row>
    <row r="253">
      <c r="A253" s="29" t="n"/>
      <c r="B253" s="29" t="n"/>
      <c r="C253" s="29" t="n"/>
      <c r="D253" s="29" t="n"/>
      <c r="E253" s="29" t="n"/>
      <c r="F253" s="29" t="n"/>
      <c r="G253" s="29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</row>
    <row r="254">
      <c r="A254" s="29" t="n"/>
      <c r="B254" s="29" t="n"/>
      <c r="C254" s="29" t="n"/>
      <c r="D254" s="29" t="n"/>
      <c r="E254" s="29" t="n"/>
      <c r="F254" s="29" t="n"/>
      <c r="G254" s="29" t="n"/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</row>
    <row r="255">
      <c r="A255" s="29" t="n"/>
      <c r="B255" s="29" t="n"/>
      <c r="C255" s="29" t="n"/>
      <c r="D255" s="29" t="n"/>
      <c r="E255" s="29" t="n"/>
      <c r="F255" s="29" t="n"/>
      <c r="G255" s="29" t="n"/>
      <c r="H255" s="29" t="n"/>
      <c r="I255" s="29" t="n"/>
      <c r="J255" s="29" t="n"/>
      <c r="K255" s="29" t="n"/>
      <c r="L255" s="29" t="n"/>
      <c r="M255" s="29" t="n"/>
      <c r="N255" s="29" t="n"/>
      <c r="O255" s="29" t="n"/>
      <c r="P255" s="29" t="n"/>
    </row>
    <row r="256">
      <c r="A256" s="29" t="n"/>
      <c r="B256" s="29" t="n"/>
      <c r="C256" s="29" t="n"/>
      <c r="D256" s="29" t="n"/>
      <c r="E256" s="29" t="n"/>
      <c r="F256" s="29" t="n"/>
      <c r="G256" s="29" t="n"/>
      <c r="H256" s="29" t="n"/>
      <c r="I256" s="29" t="n"/>
      <c r="J256" s="29" t="n"/>
      <c r="K256" s="29" t="n"/>
      <c r="L256" s="29" t="n"/>
      <c r="M256" s="29" t="n"/>
      <c r="N256" s="29" t="n"/>
      <c r="O256" s="29" t="n"/>
      <c r="P256" s="29" t="n"/>
    </row>
    <row r="257">
      <c r="A257" s="29" t="n"/>
      <c r="B257" s="29" t="n"/>
      <c r="C257" s="29" t="n"/>
      <c r="D257" s="29" t="n"/>
      <c r="E257" s="29" t="n"/>
      <c r="F257" s="29" t="n"/>
      <c r="G257" s="29" t="n"/>
      <c r="H257" s="29" t="n"/>
      <c r="I257" s="29" t="n"/>
      <c r="J257" s="29" t="n"/>
      <c r="K257" s="29" t="n"/>
      <c r="L257" s="29" t="n"/>
      <c r="M257" s="29" t="n"/>
      <c r="N257" s="29" t="n"/>
      <c r="O257" s="29" t="n"/>
      <c r="P257" s="29" t="n"/>
    </row>
    <row r="258">
      <c r="A258" s="29" t="n"/>
      <c r="B258" s="29" t="n"/>
      <c r="C258" s="29" t="n"/>
      <c r="D258" s="29" t="n"/>
      <c r="E258" s="29" t="n"/>
      <c r="F258" s="29" t="n"/>
      <c r="G258" s="29" t="n"/>
      <c r="H258" s="29" t="n"/>
      <c r="I258" s="29" t="n"/>
      <c r="J258" s="29" t="n"/>
      <c r="K258" s="29" t="n"/>
      <c r="L258" s="29" t="n"/>
      <c r="M258" s="29" t="n"/>
      <c r="N258" s="29" t="n"/>
      <c r="O258" s="29" t="n"/>
      <c r="P258" s="29" t="n"/>
    </row>
    <row r="259">
      <c r="A259" s="29" t="n"/>
      <c r="B259" s="29" t="n"/>
      <c r="C259" s="29" t="n"/>
      <c r="D259" s="29" t="n"/>
      <c r="E259" s="29" t="n"/>
      <c r="F259" s="29" t="n"/>
      <c r="G259" s="29" t="n"/>
      <c r="H259" s="29" t="n"/>
      <c r="I259" s="29" t="n"/>
      <c r="J259" s="29" t="n"/>
      <c r="K259" s="29" t="n"/>
      <c r="L259" s="29" t="n"/>
      <c r="M259" s="29" t="n"/>
      <c r="N259" s="29" t="n"/>
      <c r="O259" s="29" t="n"/>
      <c r="P259" s="29" t="n"/>
    </row>
    <row r="260">
      <c r="A260" s="29" t="n"/>
      <c r="B260" s="29" t="n"/>
      <c r="C260" s="29" t="n"/>
      <c r="D260" s="29" t="n"/>
      <c r="E260" s="29" t="n"/>
      <c r="F260" s="29" t="n"/>
      <c r="G260" s="29" t="n"/>
      <c r="H260" s="29" t="n"/>
      <c r="I260" s="29" t="n"/>
      <c r="J260" s="29" t="n"/>
      <c r="K260" s="29" t="n"/>
      <c r="L260" s="29" t="n"/>
      <c r="M260" s="29" t="n"/>
      <c r="N260" s="29" t="n"/>
      <c r="O260" s="29" t="n"/>
      <c r="P260" s="29" t="n"/>
    </row>
    <row r="261">
      <c r="A261" s="29" t="n"/>
      <c r="B261" s="29" t="n"/>
      <c r="C261" s="29" t="n"/>
      <c r="D261" s="29" t="n"/>
      <c r="E261" s="29" t="n"/>
      <c r="F261" s="29" t="n"/>
      <c r="G261" s="29" t="n"/>
      <c r="H261" s="29" t="n"/>
      <c r="I261" s="29" t="n"/>
      <c r="J261" s="29" t="n"/>
      <c r="K261" s="29" t="n"/>
      <c r="L261" s="29" t="n"/>
      <c r="M261" s="29" t="n"/>
      <c r="N261" s="29" t="n"/>
      <c r="O261" s="29" t="n"/>
      <c r="P261" s="29" t="n"/>
    </row>
    <row r="262">
      <c r="A262" s="29" t="n"/>
      <c r="B262" s="29" t="n"/>
      <c r="C262" s="29" t="n"/>
      <c r="D262" s="29" t="n"/>
      <c r="E262" s="29" t="n"/>
      <c r="F262" s="29" t="n"/>
      <c r="G262" s="29" t="n"/>
      <c r="H262" s="29" t="n"/>
      <c r="I262" s="29" t="n"/>
      <c r="J262" s="29" t="n"/>
      <c r="K262" s="29" t="n"/>
      <c r="L262" s="29" t="n"/>
      <c r="M262" s="29" t="n"/>
      <c r="N262" s="29" t="n"/>
      <c r="O262" s="29" t="n"/>
      <c r="P262" s="29" t="n"/>
    </row>
    <row r="263">
      <c r="A263" s="29" t="n"/>
      <c r="B263" s="29" t="n"/>
      <c r="C263" s="29" t="n"/>
      <c r="D263" s="29" t="n"/>
      <c r="E263" s="29" t="n"/>
      <c r="F263" s="29" t="n"/>
      <c r="G263" s="29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</row>
    <row r="264">
      <c r="A264" s="29" t="n"/>
      <c r="B264" s="29" t="n"/>
      <c r="C264" s="29" t="n"/>
      <c r="D264" s="29" t="n"/>
      <c r="E264" s="29" t="n"/>
      <c r="F264" s="29" t="n"/>
      <c r="G264" s="29" t="n"/>
      <c r="H264" s="29" t="n"/>
      <c r="I264" s="29" t="n"/>
      <c r="J264" s="29" t="n"/>
      <c r="K264" s="29" t="n"/>
      <c r="L264" s="29" t="n"/>
      <c r="M264" s="29" t="n"/>
      <c r="N264" s="29" t="n"/>
      <c r="O264" s="29" t="n"/>
      <c r="P264" s="29" t="n"/>
    </row>
    <row r="265">
      <c r="A265" s="29" t="n"/>
      <c r="B265" s="29" t="n"/>
      <c r="C265" s="29" t="n"/>
      <c r="D265" s="29" t="n"/>
      <c r="E265" s="29" t="n"/>
      <c r="F265" s="29" t="n"/>
      <c r="G265" s="29" t="n"/>
      <c r="H265" s="29" t="n"/>
      <c r="I265" s="29" t="n"/>
      <c r="J265" s="29" t="n"/>
      <c r="K265" s="29" t="n"/>
      <c r="L265" s="29" t="n"/>
      <c r="M265" s="29" t="n"/>
      <c r="N265" s="29" t="n"/>
      <c r="O265" s="29" t="n"/>
      <c r="P265" s="29" t="n"/>
    </row>
    <row r="266"/>
    <row r="267">
      <c r="A267" s="5" t="inlineStr">
        <is>
          <t>Квантизация весов (методика §3.1, core/methodology_constants.py)</t>
        </is>
      </c>
    </row>
    <row r="268">
      <c r="A268" s="28" t="inlineStr">
        <is>
          <t>Формат</t>
        </is>
      </c>
      <c r="B268" s="28" t="inlineStr">
        <is>
          <t>B_quant (байт)</t>
        </is>
      </c>
      <c r="C268" s="28" t="inlineStr">
        <is>
          <t>Описание</t>
        </is>
      </c>
    </row>
    <row r="269">
      <c r="A269" s="29" t="inlineStr">
        <is>
          <t>FP32</t>
        </is>
      </c>
      <c r="B269" s="29" t="n">
        <v>4</v>
      </c>
      <c r="C269" s="29" t="inlineStr">
        <is>
          <t>Полная точность — обучение и исследование</t>
        </is>
      </c>
      <c r="D269" s="29" t="n"/>
      <c r="E269" s="29" t="n"/>
      <c r="F269" s="29" t="n"/>
      <c r="G269" s="29" t="n"/>
      <c r="H269" s="29" t="n"/>
      <c r="I269" s="29" t="n"/>
      <c r="J269" s="29" t="n"/>
      <c r="K269" s="29" t="n"/>
      <c r="L269" s="29" t="n"/>
      <c r="M269" s="29" t="n"/>
      <c r="N269" s="29" t="n"/>
      <c r="O269" s="29" t="n"/>
      <c r="P269" s="29" t="n"/>
    </row>
    <row r="270">
      <c r="A270" s="29" t="inlineStr">
        <is>
          <t>FP16</t>
        </is>
      </c>
      <c r="B270" s="29" t="n">
        <v>2</v>
      </c>
      <c r="C270" s="29" t="inlineStr">
        <is>
          <t>Стандарт для инференса с высокой точностью</t>
        </is>
      </c>
      <c r="D270" s="29" t="n"/>
      <c r="E270" s="29" t="n"/>
      <c r="F270" s="29" t="n"/>
      <c r="G270" s="29" t="n"/>
      <c r="H270" s="29" t="n"/>
      <c r="I270" s="29" t="n"/>
      <c r="J270" s="29" t="n"/>
      <c r="K270" s="29" t="n"/>
      <c r="L270" s="29" t="n"/>
      <c r="M270" s="29" t="n"/>
      <c r="N270" s="29" t="n"/>
      <c r="O270" s="29" t="n"/>
      <c r="P270" s="29" t="n"/>
    </row>
    <row r="271">
      <c r="A271" s="29" t="inlineStr">
        <is>
          <t>BF16</t>
        </is>
      </c>
      <c r="B271" s="29" t="n">
        <v>2</v>
      </c>
      <c r="C271" s="29" t="inlineStr">
        <is>
          <t>Стандарт для Qwen/Llama/DeepSeek native weights</t>
        </is>
      </c>
      <c r="D271" s="29" t="n"/>
      <c r="E271" s="29" t="n"/>
      <c r="F271" s="29" t="n"/>
      <c r="G271" s="29" t="n"/>
      <c r="H271" s="29" t="n"/>
      <c r="I271" s="29" t="n"/>
      <c r="J271" s="29" t="n"/>
      <c r="K271" s="29" t="n"/>
      <c r="L271" s="29" t="n"/>
      <c r="M271" s="29" t="n"/>
      <c r="N271" s="29" t="n"/>
      <c r="O271" s="29" t="n"/>
      <c r="P271" s="29" t="n"/>
    </row>
    <row r="272">
      <c r="A272" s="29" t="inlineStr">
        <is>
          <t>FP8</t>
        </is>
      </c>
      <c r="B272" s="29" t="n">
        <v>1</v>
      </c>
      <c r="C272" s="29" t="inlineStr">
        <is>
          <t>Baseline для современных инференс-движков</t>
        </is>
      </c>
      <c r="D272" s="29" t="n"/>
      <c r="E272" s="29" t="n"/>
      <c r="F272" s="29" t="n"/>
      <c r="G272" s="29" t="n"/>
      <c r="H272" s="29" t="n"/>
      <c r="I272" s="29" t="n"/>
      <c r="J272" s="29" t="n"/>
      <c r="K272" s="29" t="n"/>
      <c r="L272" s="29" t="n"/>
      <c r="M272" s="29" t="n"/>
      <c r="N272" s="29" t="n"/>
      <c r="O272" s="29" t="n"/>
      <c r="P272" s="29" t="n"/>
    </row>
    <row r="273">
      <c r="A273" s="29" t="inlineStr">
        <is>
          <t>INT8</t>
        </is>
      </c>
      <c r="B273" s="29" t="n">
        <v>1</v>
      </c>
      <c r="C273" s="29" t="inlineStr">
        <is>
          <t>W8A8/W8A16 (SmoothQuant, LLM.int8)</t>
        </is>
      </c>
      <c r="D273" s="29" t="n"/>
      <c r="E273" s="29" t="n"/>
      <c r="F273" s="29" t="n"/>
      <c r="G273" s="29" t="n"/>
      <c r="H273" s="29" t="n"/>
      <c r="I273" s="29" t="n"/>
      <c r="J273" s="29" t="n"/>
      <c r="K273" s="29" t="n"/>
      <c r="L273" s="29" t="n"/>
      <c r="M273" s="29" t="n"/>
      <c r="N273" s="29" t="n"/>
      <c r="O273" s="29" t="n"/>
      <c r="P273" s="29" t="n"/>
    </row>
    <row r="274">
      <c r="A274" s="29" t="inlineStr">
        <is>
          <t>FP4</t>
        </is>
      </c>
      <c r="B274" s="29" t="n">
        <v>0.5</v>
      </c>
      <c r="C274" s="29" t="inlineStr">
        <is>
          <t>NVFP4/MXFP4 на Blackwell (B200/GB200/B300)</t>
        </is>
      </c>
      <c r="D274" s="29" t="n"/>
      <c r="E274" s="29" t="n"/>
      <c r="F274" s="29" t="n"/>
      <c r="G274" s="29" t="n"/>
      <c r="H274" s="29" t="n"/>
      <c r="I274" s="29" t="n"/>
      <c r="J274" s="29" t="n"/>
      <c r="K274" s="29" t="n"/>
      <c r="L274" s="29" t="n"/>
      <c r="M274" s="29" t="n"/>
      <c r="N274" s="29" t="n"/>
      <c r="O274" s="29" t="n"/>
      <c r="P274" s="29" t="n"/>
    </row>
    <row r="275">
      <c r="A275" s="29" t="inlineStr">
        <is>
          <t>INT4</t>
        </is>
      </c>
      <c r="B275" s="29" t="n">
        <v>0.5</v>
      </c>
      <c r="C275" s="29" t="inlineStr">
        <is>
          <t>GPTQ/AWQ — агрессивная квантизация</t>
        </is>
      </c>
      <c r="D275" s="29" t="n"/>
      <c r="E275" s="29" t="n"/>
      <c r="F275" s="29" t="n"/>
      <c r="G275" s="29" t="n"/>
      <c r="H275" s="29" t="n"/>
      <c r="I275" s="29" t="n"/>
      <c r="J275" s="29" t="n"/>
      <c r="K275" s="29" t="n"/>
      <c r="L275" s="29" t="n"/>
      <c r="M275" s="29" t="n"/>
      <c r="N275" s="29" t="n"/>
      <c r="O275" s="29" t="n"/>
      <c r="P275" s="29" t="n"/>
    </row>
    <row r="276">
      <c r="A276" s="29" t="n"/>
      <c r="B276" s="29" t="n"/>
      <c r="C276" s="29" t="n"/>
      <c r="D276" s="29" t="n"/>
      <c r="E276" s="29" t="n"/>
      <c r="F276" s="29" t="n"/>
      <c r="G276" s="29" t="n"/>
      <c r="H276" s="29" t="n"/>
      <c r="I276" s="29" t="n"/>
      <c r="J276" s="29" t="n"/>
      <c r="K276" s="29" t="n"/>
      <c r="L276" s="29" t="n"/>
      <c r="M276" s="29" t="n"/>
      <c r="N276" s="29" t="n"/>
      <c r="O276" s="29" t="n"/>
      <c r="P276" s="29" t="n"/>
    </row>
    <row r="277">
      <c r="A277" s="29" t="n"/>
      <c r="B277" s="29" t="n"/>
      <c r="C277" s="29" t="n"/>
      <c r="D277" s="29" t="n"/>
      <c r="E277" s="29" t="n"/>
      <c r="F277" s="29" t="n"/>
      <c r="G277" s="29" t="n"/>
      <c r="H277" s="29" t="n"/>
      <c r="I277" s="29" t="n"/>
      <c r="J277" s="29" t="n"/>
      <c r="K277" s="29" t="n"/>
      <c r="L277" s="29" t="n"/>
      <c r="M277" s="29" t="n"/>
      <c r="N277" s="29" t="n"/>
      <c r="O277" s="29" t="n"/>
      <c r="P277" s="29" t="n"/>
    </row>
    <row r="278">
      <c r="A278" s="29" t="n"/>
      <c r="B278" s="29" t="n"/>
      <c r="C278" s="29" t="n"/>
      <c r="D278" s="29" t="n"/>
      <c r="E278" s="29" t="n"/>
      <c r="F278" s="29" t="n"/>
      <c r="G278" s="29" t="n"/>
      <c r="H278" s="29" t="n"/>
      <c r="I278" s="29" t="n"/>
      <c r="J278" s="29" t="n"/>
      <c r="K278" s="29" t="n"/>
      <c r="L278" s="29" t="n"/>
      <c r="M278" s="29" t="n"/>
      <c r="N278" s="29" t="n"/>
      <c r="O278" s="29" t="n"/>
      <c r="P278" s="29" t="n"/>
    </row>
    <row r="279">
      <c r="A279" s="29" t="n"/>
      <c r="B279" s="29" t="n"/>
      <c r="C279" s="29" t="n"/>
      <c r="D279" s="29" t="n"/>
      <c r="E279" s="29" t="n"/>
      <c r="F279" s="29" t="n"/>
      <c r="G279" s="29" t="n"/>
      <c r="H279" s="29" t="n"/>
      <c r="I279" s="29" t="n"/>
      <c r="J279" s="29" t="n"/>
      <c r="K279" s="29" t="n"/>
      <c r="L279" s="29" t="n"/>
      <c r="M279" s="29" t="n"/>
      <c r="N279" s="29" t="n"/>
      <c r="O279" s="29" t="n"/>
      <c r="P279" s="29" t="n"/>
    </row>
    <row r="280">
      <c r="A280" s="29" t="n"/>
      <c r="B280" s="29" t="n"/>
      <c r="C280" s="29" t="n"/>
      <c r="D280" s="29" t="n"/>
      <c r="E280" s="29" t="n"/>
      <c r="F280" s="29" t="n"/>
      <c r="G280" s="29" t="n"/>
      <c r="H280" s="29" t="n"/>
      <c r="I280" s="29" t="n"/>
      <c r="J280" s="29" t="n"/>
      <c r="K280" s="29" t="n"/>
      <c r="L280" s="29" t="n"/>
      <c r="M280" s="29" t="n"/>
      <c r="N280" s="29" t="n"/>
      <c r="O280" s="29" t="n"/>
      <c r="P280" s="29" t="n"/>
    </row>
    <row r="281">
      <c r="A281" s="29" t="n"/>
      <c r="B281" s="29" t="n"/>
      <c r="C281" s="29" t="n"/>
      <c r="D281" s="29" t="n"/>
      <c r="E281" s="29" t="n"/>
      <c r="F281" s="29" t="n"/>
      <c r="G281" s="29" t="n"/>
      <c r="H281" s="29" t="n"/>
      <c r="I281" s="29" t="n"/>
      <c r="J281" s="29" t="n"/>
      <c r="K281" s="29" t="n"/>
      <c r="L281" s="29" t="n"/>
      <c r="M281" s="29" t="n"/>
      <c r="N281" s="29" t="n"/>
      <c r="O281" s="29" t="n"/>
      <c r="P281" s="29" t="n"/>
    </row>
    <row r="282">
      <c r="A282" s="29" t="n"/>
      <c r="B282" s="29" t="n"/>
      <c r="C282" s="29" t="n"/>
      <c r="D282" s="29" t="n"/>
      <c r="E282" s="29" t="n"/>
      <c r="F282" s="29" t="n"/>
      <c r="G282" s="29" t="n"/>
      <c r="H282" s="29" t="n"/>
      <c r="I282" s="29" t="n"/>
      <c r="J282" s="29" t="n"/>
      <c r="K282" s="29" t="n"/>
      <c r="L282" s="29" t="n"/>
      <c r="M282" s="29" t="n"/>
      <c r="N282" s="29" t="n"/>
      <c r="O282" s="29" t="n"/>
      <c r="P282" s="29" t="n"/>
    </row>
    <row r="283">
      <c r="A283" s="29" t="n"/>
      <c r="B283" s="29" t="n"/>
      <c r="C283" s="29" t="n"/>
      <c r="D283" s="29" t="n"/>
      <c r="E283" s="29" t="n"/>
      <c r="F283" s="29" t="n"/>
      <c r="G283" s="29" t="n"/>
      <c r="H283" s="29" t="n"/>
      <c r="I283" s="29" t="n"/>
      <c r="J283" s="29" t="n"/>
      <c r="K283" s="29" t="n"/>
      <c r="L283" s="29" t="n"/>
      <c r="M283" s="29" t="n"/>
      <c r="N283" s="29" t="n"/>
      <c r="O283" s="29" t="n"/>
      <c r="P283" s="29" t="n"/>
    </row>
    <row r="284">
      <c r="A284" s="29" t="n"/>
      <c r="B284" s="29" t="n"/>
      <c r="C284" s="29" t="n"/>
      <c r="D284" s="29" t="n"/>
      <c r="E284" s="29" t="n"/>
      <c r="F284" s="29" t="n"/>
      <c r="G284" s="29" t="n"/>
      <c r="H284" s="29" t="n"/>
      <c r="I284" s="29" t="n"/>
      <c r="J284" s="29" t="n"/>
      <c r="K284" s="29" t="n"/>
      <c r="L284" s="29" t="n"/>
      <c r="M284" s="29" t="n"/>
      <c r="N284" s="29" t="n"/>
      <c r="O284" s="29" t="n"/>
      <c r="P284" s="29" t="n"/>
    </row>
    <row r="285">
      <c r="A285" s="29" t="n"/>
      <c r="B285" s="29" t="n"/>
      <c r="C285" s="29" t="n"/>
      <c r="D285" s="29" t="n"/>
      <c r="E285" s="29" t="n"/>
      <c r="F285" s="29" t="n"/>
      <c r="G285" s="29" t="n"/>
      <c r="H285" s="29" t="n"/>
      <c r="I285" s="29" t="n"/>
      <c r="J285" s="29" t="n"/>
      <c r="K285" s="29" t="n"/>
      <c r="L285" s="29" t="n"/>
      <c r="M285" s="29" t="n"/>
      <c r="N285" s="29" t="n"/>
      <c r="O285" s="29" t="n"/>
      <c r="P285" s="29" t="n"/>
    </row>
    <row r="286">
      <c r="A286" s="29" t="n"/>
      <c r="B286" s="29" t="n"/>
      <c r="C286" s="29" t="n"/>
      <c r="D286" s="29" t="n"/>
      <c r="E286" s="29" t="n"/>
      <c r="F286" s="29" t="n"/>
      <c r="G286" s="29" t="n"/>
      <c r="H286" s="29" t="n"/>
      <c r="I286" s="29" t="n"/>
      <c r="J286" s="29" t="n"/>
      <c r="K286" s="29" t="n"/>
      <c r="L286" s="29" t="n"/>
      <c r="M286" s="29" t="n"/>
      <c r="N286" s="29" t="n"/>
      <c r="O286" s="29" t="n"/>
      <c r="P286" s="29" t="n"/>
    </row>
    <row r="287">
      <c r="A287" s="29" t="n"/>
      <c r="B287" s="29" t="n"/>
      <c r="C287" s="29" t="n"/>
      <c r="D287" s="29" t="n"/>
      <c r="E287" s="29" t="n"/>
      <c r="F287" s="29" t="n"/>
      <c r="G287" s="29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</row>
    <row r="288">
      <c r="A288" s="29" t="n"/>
      <c r="B288" s="29" t="n"/>
      <c r="C288" s="29" t="n"/>
      <c r="D288" s="29" t="n"/>
      <c r="E288" s="29" t="n"/>
      <c r="F288" s="29" t="n"/>
      <c r="G288" s="29" t="n"/>
      <c r="H288" s="29" t="n"/>
      <c r="I288" s="29" t="n"/>
      <c r="J288" s="29" t="n"/>
      <c r="K288" s="29" t="n"/>
      <c r="L288" s="29" t="n"/>
      <c r="M288" s="29" t="n"/>
      <c r="N288" s="29" t="n"/>
      <c r="O288" s="29" t="n"/>
      <c r="P288" s="29" t="n"/>
    </row>
  </sheetData>
  <printOptions horizontalCentered="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2026-05-06T20:31:04Z</dcterms:created>
  <dcterms:modified xmlns:dcterms="http://purl.org/dc/terms/" xmlns:xsi="http://www.w3.org/2001/XMLSchema-instance" xsi:type="dcterms:W3CDTF">2026-10-03T16:34:05Z</dcterms:modified>
</cp:coreProperties>
</file>